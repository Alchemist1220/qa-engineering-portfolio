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68AA000-9503-4F5A-A774-49B9E85DBFFD}" xr6:coauthVersionLast="47" xr6:coauthVersionMax="47" xr10:uidLastSave="{00000000-0000-0000-0000-000000000000}"/>
  <bookViews>
    <workbookView xWindow="500" yWindow="0" windowWidth="18790" windowHeight="9880" activeTab="1" xr2:uid="{00000000-000D-0000-FFFF-FFFF00000000}"/>
  </bookViews>
  <sheets>
    <sheet name="API_Test_Execution" sheetId="2" r:id="rId1"/>
    <sheet name="API_Assertion_Resul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E5" i="2"/>
  <c r="C5" i="2"/>
  <c r="A5" i="2"/>
  <c r="G13" i="1"/>
  <c r="H13" i="1" s="1"/>
  <c r="F13" i="1"/>
  <c r="G12" i="1"/>
  <c r="H12" i="1" s="1"/>
  <c r="F12" i="1"/>
  <c r="G11" i="1"/>
  <c r="F11" i="1"/>
  <c r="H11" i="1" s="1"/>
  <c r="H10" i="1"/>
  <c r="G10" i="1"/>
  <c r="F10" i="1"/>
  <c r="E5" i="1"/>
  <c r="C5" i="1"/>
  <c r="G5" i="1" l="1"/>
  <c r="A5" i="1"/>
</calcChain>
</file>

<file path=xl/sharedStrings.xml><?xml version="1.0" encoding="utf-8"?>
<sst xmlns="http://schemas.openxmlformats.org/spreadsheetml/2006/main" count="264" uniqueCount="143">
  <si>
    <t>QA TESTING PROJECT | API ASSERTION RESULTS</t>
  </si>
  <si>
    <t>Automated response checks executed in Postman for JSONPlaceholder. Counts reflect the four documented API request suites only.</t>
  </si>
  <si>
    <t>REQUESTS EXECUTED</t>
  </si>
  <si>
    <t>ASSERTIONS PASSED</t>
  </si>
  <si>
    <t>ASSERTIONS FAILED</t>
  </si>
  <si>
    <t>REQUEST SUITES PASSED</t>
  </si>
  <si>
    <t>SCOPE</t>
  </si>
  <si>
    <t>GET + POST + Negative</t>
  </si>
  <si>
    <t>PASS means every recorded assertion for that request passed. JSONPlaceholder simulates POST creation; response assertions do not verify permanent data persistence.</t>
  </si>
  <si>
    <t>Test Case ID</t>
  </si>
  <si>
    <t>Test Scenario</t>
  </si>
  <si>
    <t>Method</t>
  </si>
  <si>
    <t>Request URL</t>
  </si>
  <si>
    <t>HTTP Status</t>
  </si>
  <si>
    <t>Assertions Passed</t>
  </si>
  <si>
    <t>Assertions Failed</t>
  </si>
  <si>
    <t>Overall Status</t>
  </si>
  <si>
    <t>Actual Result Summary</t>
  </si>
  <si>
    <t>Notes</t>
  </si>
  <si>
    <t>API-GET-001</t>
  </si>
  <si>
    <t>Retrieve a post by ID</t>
  </si>
  <si>
    <t>GET</t>
  </si>
  <si>
    <t>https://jsonplaceholder.typicode.com/posts/1</t>
  </si>
  <si>
    <t>200 OK</t>
  </si>
  <si>
    <t>Response JSON contained userId, id, title, and body; id was 1. Four assertions passed.</t>
  </si>
  <si>
    <t>Single-resource retrieval; response assertions passed.</t>
  </si>
  <si>
    <t>API-GET-002</t>
  </si>
  <si>
    <t>Retrieve a list of posts</t>
  </si>
  <si>
    <t>https://jsonplaceholder.typicode.com/posts</t>
  </si>
  <si>
    <t>Response JSON was an array of 100 posts; each object had userId, id, title, and body. Five assertions passed.</t>
  </si>
  <si>
    <t>List response; response assertions passed.</t>
  </si>
  <si>
    <t>API-POST-001</t>
  </si>
  <si>
    <t>Create a post (simulated)</t>
  </si>
  <si>
    <t>POST</t>
  </si>
  <si>
    <t>201 Created</t>
  </si>
  <si>
    <t>Response returned a numeric ID (observed 101); title, body, and userId matched request values. Six assertions passed.</t>
  </si>
  <si>
    <t>JSONPlaceholder simulates creation; permanent persistence was not verified.</t>
  </si>
  <si>
    <t>API-GET-003</t>
  </si>
  <si>
    <t>Retrieve a non-existent post</t>
  </si>
  <si>
    <t>https://jsonplaceholder.typicode.com/posts/9999</t>
  </si>
  <si>
    <t>404 Not Found</t>
  </si>
  <si>
    <t>Response was an empty JSON object with status 404. Four assertions passed.</t>
  </si>
  <si>
    <t>Negative test; 404 was the expected result.</t>
  </si>
  <si>
    <t>ASSERTION DETAILS | POSTMAN TEST RESULTS</t>
  </si>
  <si>
    <t>Each row records one assertion reported as PASSED in Postman. The status cells remain editable for future executions.</t>
  </si>
  <si>
    <t>Assertion ID</t>
  </si>
  <si>
    <t>Assertion Name</t>
  </si>
  <si>
    <t>What Is Checked</t>
  </si>
  <si>
    <t>Expected Result</t>
  </si>
  <si>
    <t>Actual Result</t>
  </si>
  <si>
    <t>Status</t>
  </si>
  <si>
    <t>AS-001</t>
  </si>
  <si>
    <t>Status code is 200</t>
  </si>
  <si>
    <t>HTTP status</t>
  </si>
  <si>
    <t>200</t>
  </si>
  <si>
    <t>PASS</t>
  </si>
  <si>
    <t>Recorded from Postman Test Results.</t>
  </si>
  <si>
    <t>AS-002</t>
  </si>
  <si>
    <t>Response is JSON</t>
  </si>
  <si>
    <t>Response content format</t>
  </si>
  <si>
    <t>JSON</t>
  </si>
  <si>
    <t>JSON response</t>
  </si>
  <si>
    <t>AS-003</t>
  </si>
  <si>
    <t>Post ID is 1</t>
  </si>
  <si>
    <t>Response field: id</t>
  </si>
  <si>
    <t>id = 1</t>
  </si>
  <si>
    <t>AS-004</t>
  </si>
  <si>
    <t>Required fields are present</t>
  </si>
  <si>
    <t>Response schema keys</t>
  </si>
  <si>
    <t>userId, id, title, body all present</t>
  </si>
  <si>
    <t>All four required keys present</t>
  </si>
  <si>
    <t>AS-005</t>
  </si>
  <si>
    <t>AS-006</t>
  </si>
  <si>
    <t>AS-007</t>
  </si>
  <si>
    <t>Response body is an array</t>
  </si>
  <si>
    <t>Response root type</t>
  </si>
  <si>
    <t>Array</t>
  </si>
  <si>
    <t>AS-008</t>
  </si>
  <si>
    <t>Response contains 100 posts</t>
  </si>
  <si>
    <t>Array length</t>
  </si>
  <si>
    <t>100 objects</t>
  </si>
  <si>
    <t>AS-009</t>
  </si>
  <si>
    <t>Every post contains required fields</t>
  </si>
  <si>
    <t>Keys on each array object</t>
  </si>
  <si>
    <t>userId, id, title, body on every object</t>
  </si>
  <si>
    <t>Required keys present across all 100 objects</t>
  </si>
  <si>
    <t>AS-010</t>
  </si>
  <si>
    <t>Status code is 201</t>
  </si>
  <si>
    <t>201</t>
  </si>
  <si>
    <t>JSONPlaceholder simulates resource creation.</t>
  </si>
  <si>
    <t>AS-011</t>
  </si>
  <si>
    <t>AS-012</t>
  </si>
  <si>
    <t>Response contains a generated ID</t>
  </si>
  <si>
    <t>id exists and is numeric</t>
  </si>
  <si>
    <t>Numeric ID returned; 101 observed in the reported response</t>
  </si>
  <si>
    <t>AS-013</t>
  </si>
  <si>
    <t>Returned title matches the request</t>
  </si>
  <si>
    <t>Response title vs request body</t>
  </si>
  <si>
    <t>Exact match</t>
  </si>
  <si>
    <t>Matched</t>
  </si>
  <si>
    <t>AS-014</t>
  </si>
  <si>
    <t>Returned body matches the request</t>
  </si>
  <si>
    <t>Response body vs request body</t>
  </si>
  <si>
    <t>AS-015</t>
  </si>
  <si>
    <t>Returned userId matches the request</t>
  </si>
  <si>
    <t>Response userId vs request body</t>
  </si>
  <si>
    <t>1</t>
  </si>
  <si>
    <t>1; matched</t>
  </si>
  <si>
    <t>AS-016</t>
  </si>
  <si>
    <t>Status code is 404</t>
  </si>
  <si>
    <t>404</t>
  </si>
  <si>
    <t>Negative case for a non-existent post ID.</t>
  </si>
  <si>
    <t>AS-017</t>
  </si>
  <si>
    <t>AS-018</t>
  </si>
  <si>
    <t>Response body is an object</t>
  </si>
  <si>
    <t>Object</t>
  </si>
  <si>
    <t>AS-019</t>
  </si>
  <si>
    <t>Response body is empty</t>
  </si>
  <si>
    <t>Object key count</t>
  </si>
  <si>
    <t>0 keys: {}</t>
  </si>
  <si>
    <t>Empty object: {}</t>
  </si>
  <si>
    <t>QA TESTING PROJECT | API TEST EXECUTION</t>
  </si>
  <si>
    <t>Manual API testing using Postman and JSONPlaceholder. Metrics reflect the recorded API scenarios only.</t>
  </si>
  <si>
    <t>TOTAL EXECUTED</t>
  </si>
  <si>
    <t>FAIL</t>
  </si>
  <si>
    <t>BLOCKED</t>
  </si>
  <si>
    <t>PASS means the actual response matched the expected result. For JSONPlaceholder, POST creation is simulated; permanent data persistence was not verified.</t>
  </si>
  <si>
    <t>Reported Date</t>
  </si>
  <si>
    <t>Tester</t>
  </si>
  <si>
    <t>200 OK; response is a JSON object containing userId, id, title, and body; id equals 1.</t>
  </si>
  <si>
    <t>The API returned 200 OK with a JSON object containing userId, id, title, and body. The returned id was 1.</t>
  </si>
  <si>
    <t>Muhammad Alman Firdaus</t>
  </si>
  <si>
    <t>Single-resource retrieval. Result recorded from the Postman response.</t>
  </si>
  <si>
    <t>200 OK; response is a JSON array of post objects. Each object contains userId, id, title, and body.</t>
  </si>
  <si>
    <t>The API returned 200 OK with a JSON array containing 100 post objects. The response included the expected fields, with post IDs from 1 to 100 and userId values from 1 to 10.</t>
  </si>
  <si>
    <t>List response. Based on the observed response in Postman.</t>
  </si>
  <si>
    <t>Create a post</t>
  </si>
  <si>
    <t>201 Created; response is JSON and contains a generated id plus the submitted title, body, and userId values.</t>
  </si>
  <si>
    <t>The API returned 201 Created. The response contained id 101, and the returned title, body, and userId matched the values sent in the request body.</t>
  </si>
  <si>
    <t>JSONPlaceholder simulates creation; the response does not prove permanent storage.</t>
  </si>
  <si>
    <t>404 Not Found; response body is an empty JSON object ({}).</t>
  </si>
  <si>
    <t>The API returned 404 Not Found with an empty JSON object ({}), matching the expected result.</t>
  </si>
  <si>
    <t>Negative test for a non-existent post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</si>
</sst>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name val="Carlito"/>
    </font>
    <font>
      <b/>
      <sz val="14"/>
      <color rgb="FFFFFFFF"/>
      <name val="Carlito"/>
    </font>
    <font>
      <i/>
      <sz val="10"/>
      <color rgb="FF173A56"/>
      <name val="Carlito"/>
    </font>
    <font>
      <b/>
      <sz val="9"/>
      <color rgb="FFFFFFFF"/>
      <name val="Carlito"/>
    </font>
    <font>
      <b/>
      <sz val="15"/>
      <color rgb="FF243746"/>
      <name val="Carlito"/>
    </font>
    <font>
      <i/>
      <sz val="9"/>
      <color rgb="FF9C4A00"/>
      <name val="Carlito"/>
    </font>
    <font>
      <b/>
      <sz val="11"/>
      <color rgb="FFFFFFFF"/>
      <name val="Carlito"/>
    </font>
    <font>
      <i/>
      <sz val="9"/>
      <color rgb="FF173A56"/>
      <name val="Carlito"/>
    </font>
    <font>
      <sz val="9"/>
      <color rgb="FF243746"/>
      <name val="Carlito"/>
    </font>
    <font>
      <b/>
      <sz val="9"/>
      <color rgb="FF173A56"/>
      <name val="Carlito"/>
    </font>
    <font>
      <sz val="11"/>
      <name val="Carlito"/>
    </font>
    <font>
      <i/>
      <sz val="10"/>
      <color rgb="FF334155"/>
      <name val="Carlito"/>
    </font>
    <font>
      <b/>
      <sz val="10"/>
      <color rgb="FFFFFFFF"/>
      <name val="Carlito"/>
    </font>
    <font>
      <b/>
      <sz val="15"/>
      <color rgb="FF1F2937"/>
      <name val="Carlito"/>
    </font>
    <font>
      <i/>
      <sz val="9"/>
      <color rgb="FF9A3412"/>
      <name val="Carlito"/>
    </font>
    <font>
      <b/>
      <sz val="9"/>
      <color rgb="FF17364E"/>
      <name val="Carlito"/>
    </font>
    <font>
      <sz val="9"/>
      <color rgb="FF1F2937"/>
      <name val="Carlito"/>
    </font>
    <font>
      <b/>
      <sz val="9"/>
      <color rgb="FF166534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A56"/>
      </patternFill>
    </fill>
    <fill>
      <patternFill patternType="solid">
        <fgColor rgb="FFEAF2F8"/>
      </patternFill>
    </fill>
    <fill>
      <patternFill patternType="solid">
        <fgColor rgb="FF117C77"/>
      </patternFill>
    </fill>
    <fill>
      <patternFill patternType="solid">
        <fgColor rgb="FFB91C1C"/>
      </patternFill>
    </fill>
    <fill>
      <patternFill patternType="solid">
        <fgColor rgb="FF64748B"/>
      </patternFill>
    </fill>
    <fill>
      <patternFill patternType="solid">
        <fgColor rgb="FFF3F5F7"/>
      </patternFill>
    </fill>
    <fill>
      <patternFill patternType="solid">
        <fgColor rgb="FFFFF2CC"/>
      </patternFill>
    </fill>
    <fill>
      <patternFill patternType="solid">
        <fgColor rgb="FF17364E"/>
      </patternFill>
    </fill>
    <fill>
      <patternFill patternType="solid">
        <fgColor rgb="FF117A7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10"/>
  </cellStyleXfs>
  <cellXfs count="42">
    <xf numFmtId="0" fontId="0" fillId="0" borderId="0" xfId="0"/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" fillId="9" borderId="10" xfId="1" applyFont="1" applyFill="1" applyAlignment="1">
      <alignment horizontal="left" vertical="center"/>
    </xf>
    <xf numFmtId="0" fontId="10" fillId="0" borderId="10" xfId="1"/>
    <xf numFmtId="0" fontId="11" fillId="3" borderId="10" xfId="1" applyFont="1" applyFill="1" applyAlignment="1">
      <alignment horizontal="left" vertical="center" wrapText="1"/>
    </xf>
    <xf numFmtId="0" fontId="12" fillId="9" borderId="10" xfId="1" applyFont="1" applyFill="1" applyAlignment="1">
      <alignment horizontal="center" vertical="center" wrapText="1"/>
    </xf>
    <xf numFmtId="0" fontId="12" fillId="10" borderId="10" xfId="1" applyFont="1" applyFill="1" applyAlignment="1">
      <alignment horizontal="center" vertical="center"/>
    </xf>
    <xf numFmtId="0" fontId="12" fillId="5" borderId="10" xfId="1" applyFont="1" applyFill="1" applyAlignment="1">
      <alignment horizontal="center" vertical="center"/>
    </xf>
    <xf numFmtId="0" fontId="12" fillId="6" borderId="10" xfId="1" applyFont="1" applyFill="1" applyAlignment="1">
      <alignment horizontal="center" vertical="center"/>
    </xf>
    <xf numFmtId="0" fontId="13" fillId="7" borderId="10" xfId="1" applyFont="1" applyFill="1" applyAlignment="1">
      <alignment horizontal="center" vertical="center" wrapText="1"/>
    </xf>
    <xf numFmtId="0" fontId="14" fillId="8" borderId="10" xfId="1" applyFont="1" applyFill="1" applyAlignment="1">
      <alignment horizontal="left" vertical="center" wrapText="1"/>
    </xf>
    <xf numFmtId="0" fontId="12" fillId="10" borderId="10" xfId="1" applyFont="1" applyFill="1" applyAlignment="1">
      <alignment horizontal="center" vertical="center" wrapText="1"/>
    </xf>
    <xf numFmtId="0" fontId="15" fillId="0" borderId="10" xfId="1" applyFont="1" applyAlignment="1">
      <alignment vertical="center" wrapText="1"/>
    </xf>
    <xf numFmtId="0" fontId="16" fillId="0" borderId="10" xfId="1" applyFont="1" applyAlignment="1">
      <alignment vertical="center" wrapText="1"/>
    </xf>
    <xf numFmtId="0" fontId="16" fillId="0" borderId="10" xfId="1" applyFont="1" applyAlignment="1">
      <alignment horizontal="center" vertical="center" wrapText="1"/>
    </xf>
    <xf numFmtId="0" fontId="17" fillId="0" borderId="10" xfId="1" applyFont="1" applyAlignment="1">
      <alignment horizontal="center" vertical="center" wrapText="1"/>
    </xf>
    <xf numFmtId="164" fontId="16" fillId="0" borderId="1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628FC0C3-9D41-4A57-A80C-39497379BD9C}"/>
  </cellStyles>
  <dxfs count="10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4748B"/>
      </font>
      <fill>
        <patternFill patternType="solid">
          <bgColor rgb="FFF3F5F7"/>
        </patternFill>
      </fill>
    </dxf>
    <dxf>
      <font>
        <b/>
        <color rgb="FFA61C1C"/>
      </font>
      <fill>
        <patternFill patternType="solid">
          <bgColor rgb="FFF4CCCC"/>
        </patternFill>
      </fill>
    </dxf>
    <dxf>
      <font>
        <b/>
        <color rgb="FF1D6A36"/>
      </font>
      <fill>
        <patternFill patternType="solid">
          <bgColor rgb="FFD9EAD3"/>
        </patternFill>
      </fill>
    </dxf>
    <dxf>
      <font>
        <b/>
        <color rgb="FF64748B"/>
      </font>
      <fill>
        <patternFill patternType="solid">
          <bgColor rgb="FFF3F5F7"/>
        </patternFill>
      </fill>
    </dxf>
    <dxf>
      <font>
        <b/>
        <color rgb="FF9C6500"/>
      </font>
      <fill>
        <patternFill patternType="solid">
          <bgColor rgb="FFFCE5CD"/>
        </patternFill>
      </fill>
    </dxf>
    <dxf>
      <font>
        <b/>
        <color rgb="FFA61C1C"/>
      </font>
      <fill>
        <patternFill patternType="solid">
          <bgColor rgb="FFF4CCCC"/>
        </patternFill>
      </fill>
    </dxf>
    <dxf>
      <font>
        <b/>
        <color rgb="FF1D6A36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C405-BCCA-4CF2-A51E-6992F7D08893}">
  <dimension ref="A1:J12"/>
  <sheetViews>
    <sheetView zoomScale="50" zoomScaleNormal="50" workbookViewId="0">
      <pane ySplit="8" topLeftCell="A9" activePane="bottomLeft" state="frozen"/>
      <selection pane="bottomLeft" activeCell="C9" sqref="C9"/>
    </sheetView>
  </sheetViews>
  <sheetFormatPr defaultRowHeight="14"/>
  <cols>
    <col min="1" max="1" width="17" style="28" customWidth="1"/>
    <col min="2" max="2" width="29" style="28" customWidth="1"/>
    <col min="3" max="3" width="10" style="28" customWidth="1"/>
    <col min="4" max="4" width="39" style="28" customWidth="1"/>
    <col min="5" max="5" width="43" style="28" customWidth="1"/>
    <col min="6" max="6" width="48" style="28" customWidth="1"/>
    <col min="7" max="7" width="12" style="28" customWidth="1"/>
    <col min="8" max="8" width="16" style="28" customWidth="1"/>
    <col min="9" max="9" width="25" style="28" customWidth="1"/>
    <col min="10" max="10" width="39" style="28" customWidth="1"/>
    <col min="11" max="16384" width="8.6640625" style="28"/>
  </cols>
  <sheetData>
    <row r="1" spans="1:10" ht="30" customHeight="1">
      <c r="A1" s="27" t="s">
        <v>121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2" customHeight="1">
      <c r="A2" s="29" t="s">
        <v>122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2" customHeight="1">
      <c r="A4" s="30" t="s">
        <v>123</v>
      </c>
      <c r="B4" s="30"/>
      <c r="C4" s="31" t="s">
        <v>55</v>
      </c>
      <c r="D4" s="31"/>
      <c r="E4" s="32" t="s">
        <v>124</v>
      </c>
      <c r="F4" s="32"/>
      <c r="G4" s="33" t="s">
        <v>125</v>
      </c>
      <c r="H4" s="33"/>
      <c r="I4" s="30" t="s">
        <v>6</v>
      </c>
      <c r="J4" s="30"/>
    </row>
    <row r="5" spans="1:10" ht="29" customHeight="1">
      <c r="A5" s="34">
        <f>COUNTIF(G9:G100,"PASS")+COUNTIF(G9:G100,"FAIL")+COUNTIF(G9:G100,"BLOCKED")</f>
        <v>4</v>
      </c>
      <c r="B5" s="34"/>
      <c r="C5" s="34">
        <f>COUNTIF(G9:G100,"PASS")</f>
        <v>4</v>
      </c>
      <c r="D5" s="34"/>
      <c r="E5" s="34">
        <f>COUNTIF(G9:G100,"FAIL")</f>
        <v>0</v>
      </c>
      <c r="F5" s="34"/>
      <c r="G5" s="34">
        <f>COUNTIF(G9:G100,"BLOCKED")</f>
        <v>0</v>
      </c>
      <c r="H5" s="34"/>
      <c r="I5" s="34" t="s">
        <v>7</v>
      </c>
      <c r="J5" s="34"/>
    </row>
    <row r="7" spans="1:10" ht="30" customHeight="1">
      <c r="A7" s="35" t="s">
        <v>126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ht="34" customHeight="1">
      <c r="A8" s="36" t="s">
        <v>9</v>
      </c>
      <c r="B8" s="36" t="s">
        <v>10</v>
      </c>
      <c r="C8" s="36" t="s">
        <v>11</v>
      </c>
      <c r="D8" s="36" t="s">
        <v>12</v>
      </c>
      <c r="E8" s="36" t="s">
        <v>48</v>
      </c>
      <c r="F8" s="36" t="s">
        <v>49</v>
      </c>
      <c r="G8" s="36" t="s">
        <v>50</v>
      </c>
      <c r="H8" s="36" t="s">
        <v>127</v>
      </c>
      <c r="I8" s="36" t="s">
        <v>128</v>
      </c>
      <c r="J8" s="36" t="s">
        <v>18</v>
      </c>
    </row>
    <row r="9" spans="1:10" ht="76" customHeight="1">
      <c r="A9" s="37" t="s">
        <v>19</v>
      </c>
      <c r="B9" s="38" t="s">
        <v>20</v>
      </c>
      <c r="C9" s="39" t="s">
        <v>21</v>
      </c>
      <c r="D9" s="38" t="s">
        <v>22</v>
      </c>
      <c r="E9" s="38" t="s">
        <v>129</v>
      </c>
      <c r="F9" s="38" t="s">
        <v>130</v>
      </c>
      <c r="G9" s="40" t="s">
        <v>55</v>
      </c>
      <c r="H9" s="41">
        <v>46308</v>
      </c>
      <c r="I9" s="38" t="s">
        <v>131</v>
      </c>
      <c r="J9" s="38" t="s">
        <v>132</v>
      </c>
    </row>
    <row r="10" spans="1:10" ht="76" customHeight="1">
      <c r="A10" s="37" t="s">
        <v>26</v>
      </c>
      <c r="B10" s="38" t="s">
        <v>27</v>
      </c>
      <c r="C10" s="39" t="s">
        <v>21</v>
      </c>
      <c r="D10" s="38" t="s">
        <v>28</v>
      </c>
      <c r="E10" s="38" t="s">
        <v>133</v>
      </c>
      <c r="F10" s="38" t="s">
        <v>134</v>
      </c>
      <c r="G10" s="40" t="s">
        <v>55</v>
      </c>
      <c r="H10" s="41">
        <v>46308</v>
      </c>
      <c r="I10" s="38" t="s">
        <v>131</v>
      </c>
      <c r="J10" s="38" t="s">
        <v>135</v>
      </c>
    </row>
    <row r="11" spans="1:10" ht="76" customHeight="1">
      <c r="A11" s="37" t="s">
        <v>31</v>
      </c>
      <c r="B11" s="38" t="s">
        <v>136</v>
      </c>
      <c r="C11" s="39" t="s">
        <v>33</v>
      </c>
      <c r="D11" s="38" t="s">
        <v>28</v>
      </c>
      <c r="E11" s="38" t="s">
        <v>137</v>
      </c>
      <c r="F11" s="38" t="s">
        <v>138</v>
      </c>
      <c r="G11" s="40" t="s">
        <v>55</v>
      </c>
      <c r="H11" s="41">
        <v>46308</v>
      </c>
      <c r="I11" s="38" t="s">
        <v>131</v>
      </c>
      <c r="J11" s="38" t="s">
        <v>139</v>
      </c>
    </row>
    <row r="12" spans="1:10" ht="76" customHeight="1">
      <c r="A12" s="37" t="s">
        <v>37</v>
      </c>
      <c r="B12" s="38" t="s">
        <v>38</v>
      </c>
      <c r="C12" s="39" t="s">
        <v>21</v>
      </c>
      <c r="D12" s="38" t="s">
        <v>39</v>
      </c>
      <c r="E12" s="38" t="s">
        <v>140</v>
      </c>
      <c r="F12" s="38" t="s">
        <v>141</v>
      </c>
      <c r="G12" s="40" t="s">
        <v>55</v>
      </c>
      <c r="H12" s="41">
        <v>46308</v>
      </c>
      <c r="I12" s="38" t="s">
        <v>131</v>
      </c>
      <c r="J12" s="38" t="s">
        <v>142</v>
      </c>
    </row>
  </sheetData>
  <mergeCells count="13">
    <mergeCell ref="A5:B5"/>
    <mergeCell ref="C5:D5"/>
    <mergeCell ref="E5:F5"/>
    <mergeCell ref="G5:H5"/>
    <mergeCell ref="I5:J5"/>
    <mergeCell ref="A7:J7"/>
    <mergeCell ref="A1:J1"/>
    <mergeCell ref="A2:J2"/>
    <mergeCell ref="A4:B4"/>
    <mergeCell ref="C4:D4"/>
    <mergeCell ref="E4:F4"/>
    <mergeCell ref="G4:H4"/>
    <mergeCell ref="I4:J4"/>
  </mergeCells>
  <conditionalFormatting sqref="G9:G100">
    <cfRule type="expression" dxfId="2" priority="1">
      <formula>G9="PASS"</formula>
    </cfRule>
    <cfRule type="expression" dxfId="1" priority="2">
      <formula>G9="FAIL"</formula>
    </cfRule>
    <cfRule type="expression" dxfId="0" priority="3">
      <formula>G9="BLOCKED"</formula>
    </cfRule>
  </conditionalFormatting>
  <dataValidations count="1">
    <dataValidation type="list" sqref="G9:G100" xr:uid="{5CE25E2F-944A-4C66-AF65-C0E2D5650BB3}">
      <formula1>"PASS,FAIL,BLOCKED"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9" topLeftCell="A10" activePane="bottomLeft" state="frozen"/>
      <selection pane="bottomLeft" sqref="A1:J1"/>
    </sheetView>
  </sheetViews>
  <sheetFormatPr defaultRowHeight="14"/>
  <cols>
    <col min="1" max="1" width="16" customWidth="1"/>
    <col min="2" max="2" width="29" customWidth="1"/>
    <col min="3" max="3" width="14" customWidth="1"/>
    <col min="4" max="4" width="44" customWidth="1"/>
    <col min="5" max="5" width="31" customWidth="1"/>
    <col min="6" max="6" width="35" customWidth="1"/>
    <col min="7" max="8" width="16" customWidth="1"/>
    <col min="9" max="9" width="32" customWidth="1"/>
    <col min="10" max="10" width="38" customWidth="1"/>
  </cols>
  <sheetData>
    <row r="1" spans="1:10" ht="28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22" customHeight="1">
      <c r="A4" s="15" t="s">
        <v>2</v>
      </c>
      <c r="B4" s="16"/>
      <c r="C4" s="17" t="s">
        <v>3</v>
      </c>
      <c r="D4" s="17"/>
      <c r="E4" s="18" t="s">
        <v>4</v>
      </c>
      <c r="F4" s="18"/>
      <c r="G4" s="19" t="s">
        <v>5</v>
      </c>
      <c r="H4" s="19"/>
      <c r="I4" s="16" t="s">
        <v>6</v>
      </c>
      <c r="J4" s="20"/>
    </row>
    <row r="5" spans="1:10" ht="30" customHeight="1">
      <c r="A5" s="21">
        <f>COUNTIF(H10:H13,"PASS")+COUNTIF(H10:H13,"FAIL")</f>
        <v>4</v>
      </c>
      <c r="B5" s="22"/>
      <c r="C5" s="22">
        <f>COUNTIF(G18:G36,"PASS")</f>
        <v>19</v>
      </c>
      <c r="D5" s="22"/>
      <c r="E5" s="22">
        <f>COUNTIF(G18:G36,"FAIL")</f>
        <v>0</v>
      </c>
      <c r="F5" s="22"/>
      <c r="G5" s="22">
        <f>COUNTIF(H10:H13,"PASS")</f>
        <v>4</v>
      </c>
      <c r="H5" s="22"/>
      <c r="I5" s="22" t="s">
        <v>7</v>
      </c>
      <c r="J5" s="23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30" customHeight="1">
      <c r="A7" s="24" t="s">
        <v>8</v>
      </c>
      <c r="B7" s="24"/>
      <c r="C7" s="24"/>
      <c r="D7" s="24"/>
      <c r="E7" s="24"/>
      <c r="F7" s="24"/>
      <c r="G7" s="24"/>
      <c r="H7" s="24"/>
      <c r="I7" s="24"/>
      <c r="J7" s="24"/>
    </row>
    <row r="8" spans="1:10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34" customHeight="1">
      <c r="A9" s="11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  <c r="J9" s="12" t="s">
        <v>18</v>
      </c>
    </row>
    <row r="10" spans="1:10" ht="58" customHeight="1">
      <c r="A10" s="5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7">
        <f>COUNTIFS($B$18:$B$36,A10,$G$18:$G$36,"PASS")</f>
        <v>4</v>
      </c>
      <c r="G10" s="7">
        <f>COUNTIFS($B$18:$B$36,A10,$G$18:$G$36,"FAIL")</f>
        <v>0</v>
      </c>
      <c r="H10" s="7" t="str">
        <f>IF(G10&gt;0,"FAIL",IF(F10&gt;0,"PASS","NOT RUN"))</f>
        <v>PASS</v>
      </c>
      <c r="I10" s="1" t="s">
        <v>24</v>
      </c>
      <c r="J10" s="2" t="s">
        <v>25</v>
      </c>
    </row>
    <row r="11" spans="1:10" ht="58" customHeight="1">
      <c r="A11" s="5" t="s">
        <v>26</v>
      </c>
      <c r="B11" s="1" t="s">
        <v>27</v>
      </c>
      <c r="C11" s="1" t="s">
        <v>21</v>
      </c>
      <c r="D11" s="1" t="s">
        <v>28</v>
      </c>
      <c r="E11" s="1" t="s">
        <v>23</v>
      </c>
      <c r="F11" s="7">
        <f>COUNTIFS($B$18:$B$36,A11,$G$18:$G$36,"PASS")</f>
        <v>5</v>
      </c>
      <c r="G11" s="7">
        <f>COUNTIFS($B$18:$B$36,A11,$G$18:$G$36,"FAIL")</f>
        <v>0</v>
      </c>
      <c r="H11" s="7" t="str">
        <f>IF(G11&gt;0,"FAIL",IF(F11&gt;0,"PASS","NOT RUN"))</f>
        <v>PASS</v>
      </c>
      <c r="I11" s="1" t="s">
        <v>29</v>
      </c>
      <c r="J11" s="2" t="s">
        <v>30</v>
      </c>
    </row>
    <row r="12" spans="1:10" ht="58" customHeight="1">
      <c r="A12" s="5" t="s">
        <v>31</v>
      </c>
      <c r="B12" s="1" t="s">
        <v>32</v>
      </c>
      <c r="C12" s="1" t="s">
        <v>33</v>
      </c>
      <c r="D12" s="1" t="s">
        <v>28</v>
      </c>
      <c r="E12" s="1" t="s">
        <v>34</v>
      </c>
      <c r="F12" s="7">
        <f>COUNTIFS($B$18:$B$36,A12,$G$18:$G$36,"PASS")</f>
        <v>6</v>
      </c>
      <c r="G12" s="7">
        <f>COUNTIFS($B$18:$B$36,A12,$G$18:$G$36,"FAIL")</f>
        <v>0</v>
      </c>
      <c r="H12" s="7" t="str">
        <f>IF(G12&gt;0,"FAIL",IF(F12&gt;0,"PASS","NOT RUN"))</f>
        <v>PASS</v>
      </c>
      <c r="I12" s="1" t="s">
        <v>35</v>
      </c>
      <c r="J12" s="2" t="s">
        <v>36</v>
      </c>
    </row>
    <row r="13" spans="1:10" ht="58" customHeight="1">
      <c r="A13" s="6" t="s">
        <v>37</v>
      </c>
      <c r="B13" s="3" t="s">
        <v>38</v>
      </c>
      <c r="C13" s="3" t="s">
        <v>21</v>
      </c>
      <c r="D13" s="3" t="s">
        <v>39</v>
      </c>
      <c r="E13" s="3" t="s">
        <v>40</v>
      </c>
      <c r="F13" s="8">
        <f>COUNTIFS($B$18:$B$36,A13,$G$18:$G$36,"PASS")</f>
        <v>4</v>
      </c>
      <c r="G13" s="8">
        <f>COUNTIFS($B$18:$B$36,A13,$G$18:$G$36,"FAIL")</f>
        <v>0</v>
      </c>
      <c r="H13" s="8" t="str">
        <f>IF(G13&gt;0,"FAIL",IF(F13&gt;0,"PASS","NOT RUN"))</f>
        <v>PASS</v>
      </c>
      <c r="I13" s="3" t="s">
        <v>41</v>
      </c>
      <c r="J13" s="4" t="s">
        <v>42</v>
      </c>
    </row>
    <row r="14" spans="1:10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24" customHeight="1">
      <c r="A15" s="25" t="s">
        <v>43</v>
      </c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24" customHeight="1">
      <c r="A16" s="26" t="s">
        <v>44</v>
      </c>
      <c r="B16" s="26"/>
      <c r="C16" s="26"/>
      <c r="D16" s="26"/>
      <c r="E16" s="26"/>
      <c r="F16" s="26"/>
      <c r="G16" s="26"/>
      <c r="H16" s="26"/>
      <c r="I16" s="26"/>
      <c r="J16" s="26"/>
    </row>
    <row r="17" spans="1:10" ht="34" customHeight="1">
      <c r="A17" s="11" t="s">
        <v>45</v>
      </c>
      <c r="B17" s="10" t="s">
        <v>9</v>
      </c>
      <c r="C17" s="10" t="s">
        <v>46</v>
      </c>
      <c r="D17" s="10" t="s">
        <v>47</v>
      </c>
      <c r="E17" s="10" t="s">
        <v>48</v>
      </c>
      <c r="F17" s="10" t="s">
        <v>49</v>
      </c>
      <c r="G17" s="10" t="s">
        <v>50</v>
      </c>
      <c r="H17" s="12" t="s">
        <v>18</v>
      </c>
      <c r="I17" s="9"/>
      <c r="J17" s="9"/>
    </row>
    <row r="18" spans="1:10" ht="34" customHeight="1">
      <c r="A18" s="5" t="s">
        <v>51</v>
      </c>
      <c r="B18" s="1" t="s">
        <v>19</v>
      </c>
      <c r="C18" s="1" t="s">
        <v>52</v>
      </c>
      <c r="D18" s="1" t="s">
        <v>53</v>
      </c>
      <c r="E18" s="1" t="s">
        <v>54</v>
      </c>
      <c r="F18" s="1" t="s">
        <v>23</v>
      </c>
      <c r="G18" s="7" t="s">
        <v>55</v>
      </c>
      <c r="H18" s="2" t="s">
        <v>56</v>
      </c>
      <c r="I18" s="9"/>
      <c r="J18" s="9"/>
    </row>
    <row r="19" spans="1:10" ht="34" customHeight="1">
      <c r="A19" s="5" t="s">
        <v>57</v>
      </c>
      <c r="B19" s="1" t="s">
        <v>19</v>
      </c>
      <c r="C19" s="1" t="s">
        <v>58</v>
      </c>
      <c r="D19" s="1" t="s">
        <v>59</v>
      </c>
      <c r="E19" s="1" t="s">
        <v>60</v>
      </c>
      <c r="F19" s="1" t="s">
        <v>61</v>
      </c>
      <c r="G19" s="7" t="s">
        <v>55</v>
      </c>
      <c r="H19" s="2" t="s">
        <v>56</v>
      </c>
      <c r="I19" s="9"/>
      <c r="J19" s="9"/>
    </row>
    <row r="20" spans="1:10" ht="34" customHeight="1">
      <c r="A20" s="5" t="s">
        <v>62</v>
      </c>
      <c r="B20" s="1" t="s">
        <v>19</v>
      </c>
      <c r="C20" s="1" t="s">
        <v>63</v>
      </c>
      <c r="D20" s="1" t="s">
        <v>64</v>
      </c>
      <c r="E20" s="1" t="s">
        <v>65</v>
      </c>
      <c r="F20" s="1" t="s">
        <v>65</v>
      </c>
      <c r="G20" s="7" t="s">
        <v>55</v>
      </c>
      <c r="H20" s="2" t="s">
        <v>56</v>
      </c>
      <c r="I20" s="9"/>
      <c r="J20" s="9"/>
    </row>
    <row r="21" spans="1:10" ht="34" customHeight="1">
      <c r="A21" s="5" t="s">
        <v>66</v>
      </c>
      <c r="B21" s="1" t="s">
        <v>19</v>
      </c>
      <c r="C21" s="1" t="s">
        <v>67</v>
      </c>
      <c r="D21" s="1" t="s">
        <v>68</v>
      </c>
      <c r="E21" s="1" t="s">
        <v>69</v>
      </c>
      <c r="F21" s="1" t="s">
        <v>70</v>
      </c>
      <c r="G21" s="7" t="s">
        <v>55</v>
      </c>
      <c r="H21" s="2" t="s">
        <v>56</v>
      </c>
      <c r="I21" s="9"/>
      <c r="J21" s="9"/>
    </row>
    <row r="22" spans="1:10" ht="34" customHeight="1">
      <c r="A22" s="5" t="s">
        <v>71</v>
      </c>
      <c r="B22" s="1" t="s">
        <v>26</v>
      </c>
      <c r="C22" s="1" t="s">
        <v>52</v>
      </c>
      <c r="D22" s="1" t="s">
        <v>53</v>
      </c>
      <c r="E22" s="1" t="s">
        <v>54</v>
      </c>
      <c r="F22" s="1" t="s">
        <v>23</v>
      </c>
      <c r="G22" s="7" t="s">
        <v>55</v>
      </c>
      <c r="H22" s="2" t="s">
        <v>56</v>
      </c>
      <c r="I22" s="9"/>
      <c r="J22" s="9"/>
    </row>
    <row r="23" spans="1:10" ht="34" customHeight="1">
      <c r="A23" s="5" t="s">
        <v>72</v>
      </c>
      <c r="B23" s="1" t="s">
        <v>26</v>
      </c>
      <c r="C23" s="1" t="s">
        <v>58</v>
      </c>
      <c r="D23" s="1" t="s">
        <v>59</v>
      </c>
      <c r="E23" s="1" t="s">
        <v>60</v>
      </c>
      <c r="F23" s="1" t="s">
        <v>61</v>
      </c>
      <c r="G23" s="7" t="s">
        <v>55</v>
      </c>
      <c r="H23" s="2" t="s">
        <v>56</v>
      </c>
      <c r="I23" s="9"/>
      <c r="J23" s="9"/>
    </row>
    <row r="24" spans="1:10" ht="34" customHeight="1">
      <c r="A24" s="5" t="s">
        <v>73</v>
      </c>
      <c r="B24" s="1" t="s">
        <v>26</v>
      </c>
      <c r="C24" s="1" t="s">
        <v>74</v>
      </c>
      <c r="D24" s="1" t="s">
        <v>75</v>
      </c>
      <c r="E24" s="1" t="s">
        <v>76</v>
      </c>
      <c r="F24" s="1" t="s">
        <v>76</v>
      </c>
      <c r="G24" s="7" t="s">
        <v>55</v>
      </c>
      <c r="H24" s="2" t="s">
        <v>56</v>
      </c>
      <c r="I24" s="9"/>
      <c r="J24" s="9"/>
    </row>
    <row r="25" spans="1:10" ht="34" customHeight="1">
      <c r="A25" s="5" t="s">
        <v>77</v>
      </c>
      <c r="B25" s="1" t="s">
        <v>26</v>
      </c>
      <c r="C25" s="1" t="s">
        <v>78</v>
      </c>
      <c r="D25" s="1" t="s">
        <v>79</v>
      </c>
      <c r="E25" s="1" t="s">
        <v>80</v>
      </c>
      <c r="F25" s="1" t="s">
        <v>80</v>
      </c>
      <c r="G25" s="7" t="s">
        <v>55</v>
      </c>
      <c r="H25" s="2" t="s">
        <v>56</v>
      </c>
      <c r="I25" s="9"/>
      <c r="J25" s="9"/>
    </row>
    <row r="26" spans="1:10" ht="34" customHeight="1">
      <c r="A26" s="5" t="s">
        <v>81</v>
      </c>
      <c r="B26" s="1" t="s">
        <v>26</v>
      </c>
      <c r="C26" s="1" t="s">
        <v>82</v>
      </c>
      <c r="D26" s="1" t="s">
        <v>83</v>
      </c>
      <c r="E26" s="1" t="s">
        <v>84</v>
      </c>
      <c r="F26" s="1" t="s">
        <v>85</v>
      </c>
      <c r="G26" s="7" t="s">
        <v>55</v>
      </c>
      <c r="H26" s="2" t="s">
        <v>56</v>
      </c>
      <c r="I26" s="9"/>
      <c r="J26" s="9"/>
    </row>
    <row r="27" spans="1:10" ht="34" customHeight="1">
      <c r="A27" s="5" t="s">
        <v>86</v>
      </c>
      <c r="B27" s="1" t="s">
        <v>31</v>
      </c>
      <c r="C27" s="1" t="s">
        <v>87</v>
      </c>
      <c r="D27" s="1" t="s">
        <v>53</v>
      </c>
      <c r="E27" s="1" t="s">
        <v>88</v>
      </c>
      <c r="F27" s="1" t="s">
        <v>34</v>
      </c>
      <c r="G27" s="7" t="s">
        <v>55</v>
      </c>
      <c r="H27" s="2" t="s">
        <v>89</v>
      </c>
      <c r="I27" s="9"/>
      <c r="J27" s="9"/>
    </row>
    <row r="28" spans="1:10" ht="34" customHeight="1">
      <c r="A28" s="5" t="s">
        <v>90</v>
      </c>
      <c r="B28" s="1" t="s">
        <v>31</v>
      </c>
      <c r="C28" s="1" t="s">
        <v>58</v>
      </c>
      <c r="D28" s="1" t="s">
        <v>59</v>
      </c>
      <c r="E28" s="1" t="s">
        <v>60</v>
      </c>
      <c r="F28" s="1" t="s">
        <v>61</v>
      </c>
      <c r="G28" s="7" t="s">
        <v>55</v>
      </c>
      <c r="H28" s="2" t="s">
        <v>89</v>
      </c>
      <c r="I28" s="9"/>
      <c r="J28" s="9"/>
    </row>
    <row r="29" spans="1:10" ht="34" customHeight="1">
      <c r="A29" s="5" t="s">
        <v>91</v>
      </c>
      <c r="B29" s="1" t="s">
        <v>31</v>
      </c>
      <c r="C29" s="1" t="s">
        <v>92</v>
      </c>
      <c r="D29" s="1" t="s">
        <v>64</v>
      </c>
      <c r="E29" s="1" t="s">
        <v>93</v>
      </c>
      <c r="F29" s="1" t="s">
        <v>94</v>
      </c>
      <c r="G29" s="7" t="s">
        <v>55</v>
      </c>
      <c r="H29" s="2" t="s">
        <v>89</v>
      </c>
      <c r="I29" s="9"/>
      <c r="J29" s="9"/>
    </row>
    <row r="30" spans="1:10" ht="34" customHeight="1">
      <c r="A30" s="5" t="s">
        <v>95</v>
      </c>
      <c r="B30" s="1" t="s">
        <v>31</v>
      </c>
      <c r="C30" s="1" t="s">
        <v>96</v>
      </c>
      <c r="D30" s="1" t="s">
        <v>97</v>
      </c>
      <c r="E30" s="1" t="s">
        <v>98</v>
      </c>
      <c r="F30" s="1" t="s">
        <v>99</v>
      </c>
      <c r="G30" s="7" t="s">
        <v>55</v>
      </c>
      <c r="H30" s="2" t="s">
        <v>89</v>
      </c>
      <c r="I30" s="9"/>
      <c r="J30" s="9"/>
    </row>
    <row r="31" spans="1:10" ht="34" customHeight="1">
      <c r="A31" s="5" t="s">
        <v>100</v>
      </c>
      <c r="B31" s="1" t="s">
        <v>31</v>
      </c>
      <c r="C31" s="1" t="s">
        <v>101</v>
      </c>
      <c r="D31" s="1" t="s">
        <v>102</v>
      </c>
      <c r="E31" s="1" t="s">
        <v>98</v>
      </c>
      <c r="F31" s="1" t="s">
        <v>99</v>
      </c>
      <c r="G31" s="7" t="s">
        <v>55</v>
      </c>
      <c r="H31" s="2" t="s">
        <v>89</v>
      </c>
      <c r="I31" s="9"/>
      <c r="J31" s="9"/>
    </row>
    <row r="32" spans="1:10" ht="34" customHeight="1">
      <c r="A32" s="5" t="s">
        <v>103</v>
      </c>
      <c r="B32" s="1" t="s">
        <v>31</v>
      </c>
      <c r="C32" s="1" t="s">
        <v>104</v>
      </c>
      <c r="D32" s="1" t="s">
        <v>105</v>
      </c>
      <c r="E32" s="1" t="s">
        <v>106</v>
      </c>
      <c r="F32" s="1" t="s">
        <v>107</v>
      </c>
      <c r="G32" s="7" t="s">
        <v>55</v>
      </c>
      <c r="H32" s="2" t="s">
        <v>89</v>
      </c>
      <c r="I32" s="9"/>
      <c r="J32" s="9"/>
    </row>
    <row r="33" spans="1:10" ht="34" customHeight="1">
      <c r="A33" s="5" t="s">
        <v>108</v>
      </c>
      <c r="B33" s="1" t="s">
        <v>37</v>
      </c>
      <c r="C33" s="1" t="s">
        <v>109</v>
      </c>
      <c r="D33" s="1" t="s">
        <v>53</v>
      </c>
      <c r="E33" s="1" t="s">
        <v>110</v>
      </c>
      <c r="F33" s="1" t="s">
        <v>40</v>
      </c>
      <c r="G33" s="7" t="s">
        <v>55</v>
      </c>
      <c r="H33" s="2" t="s">
        <v>111</v>
      </c>
      <c r="I33" s="9"/>
      <c r="J33" s="9"/>
    </row>
    <row r="34" spans="1:10" ht="34" customHeight="1">
      <c r="A34" s="5" t="s">
        <v>112</v>
      </c>
      <c r="B34" s="1" t="s">
        <v>37</v>
      </c>
      <c r="C34" s="1" t="s">
        <v>58</v>
      </c>
      <c r="D34" s="1" t="s">
        <v>59</v>
      </c>
      <c r="E34" s="1" t="s">
        <v>60</v>
      </c>
      <c r="F34" s="1" t="s">
        <v>61</v>
      </c>
      <c r="G34" s="7" t="s">
        <v>55</v>
      </c>
      <c r="H34" s="2" t="s">
        <v>111</v>
      </c>
      <c r="I34" s="9"/>
      <c r="J34" s="9"/>
    </row>
    <row r="35" spans="1:10" ht="34" customHeight="1">
      <c r="A35" s="5" t="s">
        <v>113</v>
      </c>
      <c r="B35" s="1" t="s">
        <v>37</v>
      </c>
      <c r="C35" s="1" t="s">
        <v>114</v>
      </c>
      <c r="D35" s="1" t="s">
        <v>75</v>
      </c>
      <c r="E35" s="1" t="s">
        <v>115</v>
      </c>
      <c r="F35" s="1" t="s">
        <v>115</v>
      </c>
      <c r="G35" s="7" t="s">
        <v>55</v>
      </c>
      <c r="H35" s="2" t="s">
        <v>111</v>
      </c>
      <c r="I35" s="9"/>
      <c r="J35" s="9"/>
    </row>
    <row r="36" spans="1:10" ht="34" customHeight="1">
      <c r="A36" s="6" t="s">
        <v>116</v>
      </c>
      <c r="B36" s="3" t="s">
        <v>37</v>
      </c>
      <c r="C36" s="3" t="s">
        <v>117</v>
      </c>
      <c r="D36" s="3" t="s">
        <v>118</v>
      </c>
      <c r="E36" s="3" t="s">
        <v>119</v>
      </c>
      <c r="F36" s="3" t="s">
        <v>120</v>
      </c>
      <c r="G36" s="8" t="s">
        <v>55</v>
      </c>
      <c r="H36" s="4" t="s">
        <v>111</v>
      </c>
      <c r="I36" s="9"/>
      <c r="J36" s="9"/>
    </row>
  </sheetData>
  <mergeCells count="15">
    <mergeCell ref="A7:J7"/>
    <mergeCell ref="A15:J15"/>
    <mergeCell ref="A16:J16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conditionalFormatting sqref="G18:G36">
    <cfRule type="expression" dxfId="9" priority="1">
      <formula>G18="PASS"</formula>
    </cfRule>
    <cfRule type="expression" dxfId="8" priority="3">
      <formula>G18="FAIL"</formula>
    </cfRule>
    <cfRule type="expression" dxfId="7" priority="4">
      <formula>G18="BLOCKED"</formula>
    </cfRule>
    <cfRule type="expression" dxfId="6" priority="5">
      <formula>G18="NOT RUN"</formula>
    </cfRule>
  </conditionalFormatting>
  <conditionalFormatting sqref="H10:H13">
    <cfRule type="expression" dxfId="5" priority="2">
      <formula>H10="PASS"</formula>
    </cfRule>
    <cfRule type="expression" dxfId="4" priority="6">
      <formula>H10="FAIL"</formula>
    </cfRule>
    <cfRule type="expression" dxfId="3" priority="7">
      <formula>H10="NOT RUN"</formula>
    </cfRule>
  </conditionalFormatting>
  <dataValidations count="1">
    <dataValidation type="list" sqref="G18:G36" xr:uid="{00000000-0002-0000-0000-000000000000}">
      <formula1>"PASS,FAIL,BLOCKED,NOT RUN"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API_Test_Execution</vt:lpstr>
      <vt:lpstr>API_Assertion_Results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Firdaus</cp:lastModifiedBy>
  <dcterms:modified xsi:type="dcterms:W3CDTF">2026-10-16T06:39:10Z</dcterms:modified>
</cp:coreProperties>
</file>