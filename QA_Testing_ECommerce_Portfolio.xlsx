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A73C3C9-9054-4593-87C5-8CA3C7A97D2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est_Cases" sheetId="1" r:id="rId1"/>
    <sheet name="Test_Execution" sheetId="2" r:id="rId2"/>
    <sheet name="Bug_Repo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E5" i="2"/>
  <c r="C5" i="2"/>
  <c r="A5" i="2"/>
</calcChain>
</file>

<file path=xl/sharedStrings.xml><?xml version="1.0" encoding="utf-8"?>
<sst xmlns="http://schemas.openxmlformats.org/spreadsheetml/2006/main" count="272" uniqueCount="181">
  <si>
    <t>QA TESTING PROJECT | TEST CASES</t>
  </si>
  <si>
    <t>Application Under Test: SauceDemo / Swag Labs | Focus: Login module. Update any assumptions if further execution produces different evidence.</t>
  </si>
  <si>
    <t>Guidance: Expected results describe intended behavior. Use exact observed messages in Test_Execution; do not treat separate product/UI observations as login failures.</t>
  </si>
  <si>
    <t>Test Case ID</t>
  </si>
  <si>
    <t>Scenario ID</t>
  </si>
  <si>
    <t>Module</t>
  </si>
  <si>
    <t>Test Case Title</t>
  </si>
  <si>
    <t>Preconditions</t>
  </si>
  <si>
    <t>Test Data</t>
  </si>
  <si>
    <t>Test Steps (Summary)</t>
  </si>
  <si>
    <t>Expected Result</t>
  </si>
  <si>
    <t>TC-LOGIN-001</t>
  </si>
  <si>
    <t>TS-LOGIN-001</t>
  </si>
  <si>
    <t>Login</t>
  </si>
  <si>
    <t>Login with valid credentials</t>
  </si>
  <si>
    <t>User is on the SauceDemo login page.</t>
  </si>
  <si>
    <t>Username: standard_user
Password: secret_sauce</t>
  </si>
  <si>
    <t>1. Enter username.
2. Enter password.
3. Click Login.</t>
  </si>
  <si>
    <t>User is authenticated and redirected to the Products/Inventory page.</t>
  </si>
  <si>
    <t>TC-LOGIN-002</t>
  </si>
  <si>
    <t>TS-LOGIN-002</t>
  </si>
  <si>
    <t>Login with invalid credentials</t>
  </si>
  <si>
    <t>Username:  standard_user (leading space)
Password: secret_saucE (uppercase E)</t>
  </si>
  <si>
    <t>1. Enter the recorded username.
2. Enter the recorded password.
3. Click Login.</t>
  </si>
  <si>
    <t>Login is rejected and the system displays an appropriate error message.</t>
  </si>
  <si>
    <t>TC-LOGIN-003</t>
  </si>
  <si>
    <t>TS-LOGIN-003</t>
  </si>
  <si>
    <t>Valid username with invalid password</t>
  </si>
  <si>
    <t>Username: standard_user
Password: wrong_password</t>
  </si>
  <si>
    <t>1. Enter valid username.
2. Enter incorrect password.
3. Click Login.</t>
  </si>
  <si>
    <t>Login is rejected and an authentication error is displayed.</t>
  </si>
  <si>
    <t>TC-LOGIN-004</t>
  </si>
  <si>
    <t>TS-LOGIN-004</t>
  </si>
  <si>
    <t>Invalid username with valid password</t>
  </si>
  <si>
    <t>Username: wrong_user
Password: secret_sauce</t>
  </si>
  <si>
    <t>1. Enter invalid username.
2. Enter valid password.
3. Click Login.</t>
  </si>
  <si>
    <t>TC-LOGIN-005</t>
  </si>
  <si>
    <t>TS-LOGIN-005</t>
  </si>
  <si>
    <t>Both username and password fields are empty</t>
  </si>
  <si>
    <t>Username: blank
Password: blank</t>
  </si>
  <si>
    <t>1. Leave both fields empty.
2. Click Login.</t>
  </si>
  <si>
    <t>Login is prevented and "Epic sadface: Username is required" is displayed.</t>
  </si>
  <si>
    <t>TC-LOGIN-006</t>
  </si>
  <si>
    <t>TS-LOGIN-006</t>
  </si>
  <si>
    <t>Username is entered; password is empty</t>
  </si>
  <si>
    <t>Username: standard_user
Password: blank</t>
  </si>
  <si>
    <t>1. Enter username.
2. Leave password empty.
3. Click Login.</t>
  </si>
  <si>
    <t>Login is prevented and "Epic sadface: Password is required" is displayed.</t>
  </si>
  <si>
    <t>TC-LOGIN-007</t>
  </si>
  <si>
    <t>TS-LOGIN-007</t>
  </si>
  <si>
    <t>Username is empty; password is entered</t>
  </si>
  <si>
    <t>Username: blank
Password: secret_sauce</t>
  </si>
  <si>
    <t>1. Leave username empty.
2. Enter password.
3. Click Login.</t>
  </si>
  <si>
    <t>TC-LOGIN-008</t>
  </si>
  <si>
    <t>TS-LOGIN-008</t>
  </si>
  <si>
    <t>Login using a locked-out account</t>
  </si>
  <si>
    <t>Username: locked_out_user
Password: secret_sauce</t>
  </si>
  <si>
    <t>1. Enter locked-out username.
2. Enter demo password.
3. Click Login.</t>
  </si>
  <si>
    <t>Login is rejected and "Epic sadface: Sorry, this user has been locked out." is displayed.</t>
  </si>
  <si>
    <t>QA TESTING PROJECT | TEST EXECUTION</t>
  </si>
  <si>
    <t>Results reflect the observations reported in this conversation. Confirm or amend the environment and execution dates before publishing.</t>
  </si>
  <si>
    <t>TOTAL EXECUTED</t>
  </si>
  <si>
    <t>PASS</t>
  </si>
  <si>
    <t>FAIL</t>
  </si>
  <si>
    <t>BLOCKED</t>
  </si>
  <si>
    <t>SCOPE</t>
  </si>
  <si>
    <t>Login only</t>
  </si>
  <si>
    <t>PASS means the actual behavior matched the expected result for that test. Product/UI observations are tracked separately in Bug_Reports and are not counted as login test failures.</t>
  </si>
  <si>
    <t>Scenario</t>
  </si>
  <si>
    <t>Test Data Summary</t>
  </si>
  <si>
    <t>Actual Result</t>
  </si>
  <si>
    <t>Status</t>
  </si>
  <si>
    <t>Reported Date</t>
  </si>
  <si>
    <t>Tester</t>
  </si>
  <si>
    <t>Notes</t>
  </si>
  <si>
    <t>Valid username + valid password</t>
  </si>
  <si>
    <t>standard_user / secret_sauce</t>
  </si>
  <si>
    <t>User is authenticated and Products page is displayed.</t>
  </si>
  <si>
    <t>User was successfully logged in and redirected to the Products page.</t>
  </si>
  <si>
    <t>2026-10-05</t>
  </si>
  <si>
    <t>Muhammad Alman Firdaus</t>
  </si>
  <si>
    <t>Based on reported manual execution.</t>
  </si>
  <si>
    <t>Invalid credential combination</t>
  </si>
  <si>
    <t>Username has leading space; password "secret_saucE"</t>
  </si>
  <si>
    <t>Login is rejected and an appropriate error message is displayed.</t>
  </si>
  <si>
    <t>Login was rejected. Message: "Epic sadface: Username and password do not match any user in this service".</t>
  </si>
  <si>
    <t>2026-10-12</t>
  </si>
  <si>
    <t>Two input variables differ from valid credentials; this does not isolate the whitespace behavior.</t>
  </si>
  <si>
    <t>Valid username + invalid password</t>
  </si>
  <si>
    <t>standard_user / wrong_password</t>
  </si>
  <si>
    <t>Error displayed: "Epic sadface: Username and password do not match any user in this service". Cross icons appeared in both fields.</t>
  </si>
  <si>
    <t>Observed behavior matches the rejection expectation.</t>
  </si>
  <si>
    <t>Invalid username + valid password</t>
  </si>
  <si>
    <t>wrong_user / secret_sauce</t>
  </si>
  <si>
    <t>Both username and password empty</t>
  </si>
  <si>
    <t>blank / blank</t>
  </si>
  <si>
    <t>Login is prevented; "Epic sadface: Username is required" is displayed.</t>
  </si>
  <si>
    <t>User remained on login page. Message: "Epic sadface: Username is required".</t>
  </si>
  <si>
    <t>Validation checks username first.</t>
  </si>
  <si>
    <t>Username entered; password empty</t>
  </si>
  <si>
    <t>standard_user / blank</t>
  </si>
  <si>
    <t>Login is prevented; "Epic sadface: Password is required" is displayed.</t>
  </si>
  <si>
    <t>User remained on login page. Message: "Epic sadface: Password is required".</t>
  </si>
  <si>
    <t>Observed field validation.</t>
  </si>
  <si>
    <t>Username empty; password entered</t>
  </si>
  <si>
    <t>blank / secret_sauce</t>
  </si>
  <si>
    <t>Locked-out user</t>
  </si>
  <si>
    <t>locked_out_user / secret_sauce</t>
  </si>
  <si>
    <t>Login is rejected; "Epic sadface: Sorry, this user has been locked out." is displayed.</t>
  </si>
  <si>
    <t>Login was rejected. Message: "Epic sadface: Sorry, this user has been locked out."</t>
  </si>
  <si>
    <t>Reported during exploration of demo accounts.</t>
  </si>
  <si>
    <t>QA TESTING PROJECT | OBSERVED ISSUES</t>
  </si>
  <si>
    <t>Initial findings from SauceDemo demo accounts. Findings remain observations pending confirmation, not claims of newly discovered production defects.</t>
  </si>
  <si>
    <t>Before publishing: reproduce each issue, preserve screenshots, and verify expected behavior. Severity and priority remain unassessed until impact is reviewed.</t>
  </si>
  <si>
    <t>Finding ID</t>
  </si>
  <si>
    <t>Type</t>
  </si>
  <si>
    <t>Test Account</t>
  </si>
  <si>
    <t>Title</t>
  </si>
  <si>
    <t>Steps to Reproduce</t>
  </si>
  <si>
    <t>Evidence File</t>
  </si>
  <si>
    <t>Severity</t>
  </si>
  <si>
    <t>Priority</t>
  </si>
  <si>
    <t>OBS-PRODUCT-001</t>
  </si>
  <si>
    <t>UI / Data consistency</t>
  </si>
  <si>
    <t>Product Listing</t>
  </si>
  <si>
    <t>problem_user</t>
  </si>
  <si>
    <t>Product images do not match their corresponding product information</t>
  </si>
  <si>
    <t>User is logged in and on the Inventory page.</t>
  </si>
  <si>
    <t>1. Log in as problem_user.
2. Inspect the product images for Sauce Labs Backpack, Sauce Labs Bike Light, Sauce Labs Bolt T-Shirt, and Sauce Labs Fleece Jacket.</t>
  </si>
  <si>
    <t>Each product image corresponds to its product name and description.</t>
  </si>
  <si>
    <t>The Inventory screenshot shows the same dog image for several products with different names and descriptions.</t>
  </si>
  <si>
    <t>Observed — pending confirmation</t>
  </si>
  <si>
    <t>Not assessed</t>
  </si>
  <si>
    <t>OBS-NAV-001</t>
  </si>
  <si>
    <t>Navigation / Product mapping</t>
  </si>
  <si>
    <t>Product Detail</t>
  </si>
  <si>
    <t>Selecting Sauce Labs Backpack opens the Sauce Labs Fleece Jacket detail page</t>
  </si>
  <si>
    <t>User is logged in and viewing the Inventory page.</t>
  </si>
  <si>
    <t>1. Log in as problem_user.
2. Select Sauce Labs Backpack.
3. Inspect the product detail page and URL.</t>
  </si>
  <si>
    <t>The selected Sauce Labs Backpack detail page should display its corresponding product name, image, description, and price.</t>
  </si>
  <si>
    <t>User reports that clicking Sauce Labs Backpack opened the Sauce Labs Fleece Jacket detail page. The provided detail screenshot shows the title Sauce Labs Fleece Jacket and URL inventory-item.html?id=5.</t>
  </si>
  <si>
    <t>OBS-CART-001</t>
  </si>
  <si>
    <t>Functional</t>
  </si>
  <si>
    <t>Shopping Cart</t>
  </si>
  <si>
    <t>Add to Cart / Remove behavior is inconsistent</t>
  </si>
  <si>
    <t>User is logged in and on the Inventory or Product Detail page.</t>
  </si>
  <si>
    <t>Initial observation only; exact product and click sequence still need to be recorded.</t>
  </si>
  <si>
    <t>Add to Cart and Remove should update the cart state consistently on supported product views.</t>
  </si>
  <si>
    <t>User reported that some products could not be added or removed from the Inventory page, while the controls behaved differently after opening product details.</t>
  </si>
  <si>
    <t>Screenshot not yet provided</t>
  </si>
  <si>
    <t>Needs reproduction</t>
  </si>
  <si>
    <t>OBS-PRICE-001</t>
  </si>
  <si>
    <t>UI / Data display</t>
  </si>
  <si>
    <t>Product price display may be inconsistent</t>
  </si>
  <si>
    <t>Initial observation only; exact product and displayed price still need to be recorded.</t>
  </si>
  <si>
    <t>Product prices should use a consistent and expected currency/number format.</t>
  </si>
  <si>
    <t>User reported that some product prices did not appear to use the expected format; exact example not yet recorded.</t>
  </si>
  <si>
    <t>OBS-NAV-002</t>
  </si>
  <si>
    <t>Navigation</t>
  </si>
  <si>
    <t>Login / Product Detail</t>
  </si>
  <si>
    <t>performance_glitch_user</t>
  </si>
  <si>
    <t>Login appeared to open a product detail page instead of Inventory</t>
  </si>
  <si>
    <t>User is on the login page and starts a new session.</t>
  </si>
  <si>
    <t>Initial observation only; must repeat from a fresh session and note the URL.</t>
  </si>
  <si>
    <t>Successful login should lead to the expected landing page unless the app explicitly preserves a redirect destination.</t>
  </si>
  <si>
    <t>User reported that login appeared to land on a product detail page rather than inventory.html.</t>
  </si>
  <si>
    <t>OBS-CART-002</t>
  </si>
  <si>
    <t>error_user</t>
  </si>
  <si>
    <t>Add to Cart / Remove did not work for some products</t>
  </si>
  <si>
    <t>User is logged in and viewing Inventory or Product Detail.</t>
  </si>
  <si>
    <t>Cart actions should work consistently according to the product page state.</t>
  </si>
  <si>
    <t>User reported that Add to Cart and Remove did not work for some products even after opening their detail page.</t>
  </si>
  <si>
    <t>OBS-UI-001</t>
  </si>
  <si>
    <t>Visual / UI</t>
  </si>
  <si>
    <t>visual_user</t>
  </si>
  <si>
    <t>Product page layout appeared broken</t>
  </si>
  <si>
    <t>User is logged in as visual_user.</t>
  </si>
  <si>
    <t>1. Log in as visual_user.
2. Open the Inventory page.
3. Compare the layout with the same page under standard_user.</t>
  </si>
  <si>
    <t>Product information and controls are laid out consistently and remain readable.</t>
  </si>
  <si>
    <t>User reported that some UI elements/layout appeared disorganized although the main features remained usable.</t>
  </si>
  <si>
    <t>Needs screenshot /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</si>
</sst>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i/>
      <sz val="11"/>
      <color rgb="FF243746"/>
      <name val="Carlito"/>
    </font>
    <font>
      <i/>
      <sz val="11"/>
      <color rgb="FF92400E"/>
      <name val="Carlito"/>
    </font>
    <font>
      <sz val="11"/>
      <color rgb="FF243746"/>
      <name val="Carlito"/>
    </font>
    <font>
      <b/>
      <sz val="11"/>
      <color rgb="FF24374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EAF2F8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B91C1C"/>
      </patternFill>
    </fill>
    <fill>
      <patternFill patternType="solid">
        <fgColor rgb="FF64748B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D1" workbookViewId="0">
      <pane ySplit="5" topLeftCell="A13" activePane="bottomLeft" state="frozen"/>
      <selection pane="bottomLeft" activeCell="F13" sqref="F13"/>
    </sheetView>
  </sheetViews>
  <sheetFormatPr defaultRowHeight="14"/>
  <cols>
    <col min="1" max="1" width="17" customWidth="1"/>
    <col min="2" max="2" width="16" customWidth="1"/>
    <col min="3" max="3" width="14" customWidth="1"/>
    <col min="4" max="5" width="30" customWidth="1"/>
    <col min="6" max="6" width="31" customWidth="1"/>
    <col min="7" max="7" width="34" customWidth="1"/>
    <col min="8" max="8" width="42" customWidth="1"/>
  </cols>
  <sheetData>
    <row r="1" spans="1:8" ht="32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30" customHeight="1">
      <c r="A2" s="5" t="s">
        <v>1</v>
      </c>
      <c r="B2" s="5"/>
      <c r="C2" s="5"/>
      <c r="D2" s="5"/>
      <c r="E2" s="5"/>
      <c r="F2" s="5"/>
      <c r="G2" s="5"/>
      <c r="H2" s="5"/>
    </row>
    <row r="4" spans="1:8" ht="30" customHeight="1">
      <c r="A4" s="6" t="s">
        <v>2</v>
      </c>
      <c r="B4" s="6"/>
      <c r="C4" s="6"/>
      <c r="D4" s="6"/>
      <c r="E4" s="6"/>
      <c r="F4" s="6"/>
      <c r="G4" s="6"/>
      <c r="H4" s="6"/>
    </row>
    <row r="5" spans="1:8" ht="3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70" customHeight="1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2" t="s">
        <v>17</v>
      </c>
      <c r="H6" s="12" t="s">
        <v>18</v>
      </c>
    </row>
    <row r="7" spans="1:8" ht="70" customHeight="1">
      <c r="A7" s="13" t="s">
        <v>19</v>
      </c>
      <c r="B7" s="13" t="s">
        <v>20</v>
      </c>
      <c r="C7" s="13" t="s">
        <v>13</v>
      </c>
      <c r="D7" s="13" t="s">
        <v>21</v>
      </c>
      <c r="E7" s="13" t="s">
        <v>15</v>
      </c>
      <c r="F7" s="13" t="s">
        <v>22</v>
      </c>
      <c r="G7" s="12" t="s">
        <v>23</v>
      </c>
      <c r="H7" s="12" t="s">
        <v>24</v>
      </c>
    </row>
    <row r="8" spans="1:8" ht="70" customHeight="1">
      <c r="A8" s="13" t="s">
        <v>25</v>
      </c>
      <c r="B8" s="13" t="s">
        <v>26</v>
      </c>
      <c r="C8" s="13" t="s">
        <v>13</v>
      </c>
      <c r="D8" s="13" t="s">
        <v>27</v>
      </c>
      <c r="E8" s="13" t="s">
        <v>15</v>
      </c>
      <c r="F8" s="13" t="s">
        <v>28</v>
      </c>
      <c r="G8" s="12" t="s">
        <v>29</v>
      </c>
      <c r="H8" s="12" t="s">
        <v>30</v>
      </c>
    </row>
    <row r="9" spans="1:8" ht="70" customHeight="1">
      <c r="A9" s="13" t="s">
        <v>31</v>
      </c>
      <c r="B9" s="13" t="s">
        <v>32</v>
      </c>
      <c r="C9" s="13" t="s">
        <v>13</v>
      </c>
      <c r="D9" s="13" t="s">
        <v>33</v>
      </c>
      <c r="E9" s="13" t="s">
        <v>15</v>
      </c>
      <c r="F9" s="13" t="s">
        <v>34</v>
      </c>
      <c r="G9" s="12" t="s">
        <v>35</v>
      </c>
      <c r="H9" s="12" t="s">
        <v>30</v>
      </c>
    </row>
    <row r="10" spans="1:8" ht="70" customHeight="1">
      <c r="A10" s="13" t="s">
        <v>36</v>
      </c>
      <c r="B10" s="13" t="s">
        <v>37</v>
      </c>
      <c r="C10" s="13" t="s">
        <v>13</v>
      </c>
      <c r="D10" s="13" t="s">
        <v>38</v>
      </c>
      <c r="E10" s="13" t="s">
        <v>15</v>
      </c>
      <c r="F10" s="13" t="s">
        <v>39</v>
      </c>
      <c r="G10" s="12" t="s">
        <v>40</v>
      </c>
      <c r="H10" s="12" t="s">
        <v>41</v>
      </c>
    </row>
    <row r="11" spans="1:8" ht="70" customHeight="1">
      <c r="A11" s="13" t="s">
        <v>42</v>
      </c>
      <c r="B11" s="13" t="s">
        <v>43</v>
      </c>
      <c r="C11" s="13" t="s">
        <v>13</v>
      </c>
      <c r="D11" s="13" t="s">
        <v>44</v>
      </c>
      <c r="E11" s="13" t="s">
        <v>15</v>
      </c>
      <c r="F11" s="13" t="s">
        <v>45</v>
      </c>
      <c r="G11" s="12" t="s">
        <v>46</v>
      </c>
      <c r="H11" s="12" t="s">
        <v>47</v>
      </c>
    </row>
    <row r="12" spans="1:8" ht="70" customHeight="1">
      <c r="A12" s="13" t="s">
        <v>48</v>
      </c>
      <c r="B12" s="13" t="s">
        <v>49</v>
      </c>
      <c r="C12" s="13" t="s">
        <v>13</v>
      </c>
      <c r="D12" s="13" t="s">
        <v>50</v>
      </c>
      <c r="E12" s="13" t="s">
        <v>15</v>
      </c>
      <c r="F12" s="13" t="s">
        <v>51</v>
      </c>
      <c r="G12" s="12" t="s">
        <v>52</v>
      </c>
      <c r="H12" s="12" t="s">
        <v>41</v>
      </c>
    </row>
    <row r="13" spans="1:8" ht="70" customHeight="1">
      <c r="A13" s="13" t="s">
        <v>53</v>
      </c>
      <c r="B13" s="13" t="s">
        <v>54</v>
      </c>
      <c r="C13" s="13" t="s">
        <v>13</v>
      </c>
      <c r="D13" s="13" t="s">
        <v>55</v>
      </c>
      <c r="E13" s="13" t="s">
        <v>15</v>
      </c>
      <c r="F13" s="13" t="s">
        <v>56</v>
      </c>
      <c r="G13" s="12" t="s">
        <v>57</v>
      </c>
      <c r="H13" s="12" t="s">
        <v>58</v>
      </c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93" workbookViewId="0">
      <pane ySplit="8" topLeftCell="A16" activePane="bottomLeft" state="frozen"/>
      <selection pane="bottomLeft" activeCell="I14" sqref="I14"/>
    </sheetView>
  </sheetViews>
  <sheetFormatPr defaultRowHeight="14"/>
  <cols>
    <col min="1" max="1" width="17" customWidth="1"/>
    <col min="2" max="2" width="27" customWidth="1"/>
    <col min="3" max="3" width="31" customWidth="1"/>
    <col min="4" max="4" width="38" customWidth="1"/>
    <col min="5" max="5" width="50" customWidth="1"/>
    <col min="6" max="6" width="12" customWidth="1"/>
    <col min="7" max="7" width="18" customWidth="1"/>
    <col min="8" max="8" width="26" customWidth="1"/>
    <col min="9" max="9" width="38" customWidth="1"/>
  </cols>
  <sheetData>
    <row r="1" spans="1:9" ht="32" customHeight="1">
      <c r="A1" s="4" t="s">
        <v>59</v>
      </c>
      <c r="B1" s="4"/>
      <c r="C1" s="4"/>
      <c r="D1" s="4"/>
      <c r="E1" s="4"/>
      <c r="F1" s="4"/>
      <c r="G1" s="4"/>
      <c r="H1" s="4"/>
      <c r="I1" s="4"/>
    </row>
    <row r="2" spans="1:9" ht="30" customHeight="1">
      <c r="A2" s="5" t="s">
        <v>60</v>
      </c>
      <c r="B2" s="5"/>
      <c r="C2" s="5"/>
      <c r="D2" s="5"/>
      <c r="E2" s="5"/>
      <c r="F2" s="5"/>
      <c r="G2" s="5"/>
      <c r="H2" s="5"/>
      <c r="I2" s="5"/>
    </row>
    <row r="4" spans="1:9">
      <c r="A4" s="7" t="s">
        <v>61</v>
      </c>
      <c r="B4" s="7"/>
      <c r="C4" s="8" t="s">
        <v>62</v>
      </c>
      <c r="D4" s="8"/>
      <c r="E4" s="9" t="s">
        <v>63</v>
      </c>
      <c r="F4" s="9"/>
      <c r="G4" s="10" t="s">
        <v>64</v>
      </c>
      <c r="H4" s="10"/>
      <c r="I4" s="2" t="s">
        <v>65</v>
      </c>
    </row>
    <row r="5" spans="1:9" ht="28" customHeight="1">
      <c r="A5" s="11">
        <f>COUNTA(A9:A16)</f>
        <v>8</v>
      </c>
      <c r="B5" s="11"/>
      <c r="C5" s="11">
        <f>COUNTIF(F9:F16,"PASS")</f>
        <v>8</v>
      </c>
      <c r="D5" s="11"/>
      <c r="E5" s="11">
        <f>COUNTIF(F9:F16,"FAIL")</f>
        <v>0</v>
      </c>
      <c r="F5" s="11"/>
      <c r="G5" s="11">
        <f>COUNTIF(F9:F16,"BLOCKED")</f>
        <v>0</v>
      </c>
      <c r="H5" s="11"/>
      <c r="I5" s="3" t="s">
        <v>66</v>
      </c>
    </row>
    <row r="7" spans="1:9" ht="28" customHeight="1">
      <c r="A7" s="6" t="s">
        <v>67</v>
      </c>
      <c r="B7" s="6"/>
      <c r="C7" s="6"/>
      <c r="D7" s="6"/>
      <c r="E7" s="6"/>
      <c r="F7" s="6"/>
      <c r="G7" s="6"/>
      <c r="H7" s="6"/>
      <c r="I7" s="6"/>
    </row>
    <row r="8" spans="1:9" ht="34" customHeight="1">
      <c r="A8" s="1" t="s">
        <v>3</v>
      </c>
      <c r="B8" s="1" t="s">
        <v>68</v>
      </c>
      <c r="C8" s="1" t="s">
        <v>69</v>
      </c>
      <c r="D8" s="1" t="s">
        <v>10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74</v>
      </c>
    </row>
    <row r="9" spans="1:9" ht="62" customHeight="1">
      <c r="A9" s="13" t="s">
        <v>11</v>
      </c>
      <c r="B9" s="13" t="s">
        <v>75</v>
      </c>
      <c r="C9" s="13" t="s">
        <v>76</v>
      </c>
      <c r="D9" s="12" t="s">
        <v>77</v>
      </c>
      <c r="E9" s="12" t="s">
        <v>78</v>
      </c>
      <c r="F9" s="13" t="s">
        <v>62</v>
      </c>
      <c r="G9" s="13" t="s">
        <v>79</v>
      </c>
      <c r="H9" s="13" t="s">
        <v>80</v>
      </c>
      <c r="I9" s="12" t="s">
        <v>81</v>
      </c>
    </row>
    <row r="10" spans="1:9" ht="62" customHeight="1">
      <c r="A10" s="13" t="s">
        <v>19</v>
      </c>
      <c r="B10" s="13" t="s">
        <v>82</v>
      </c>
      <c r="C10" s="13" t="s">
        <v>83</v>
      </c>
      <c r="D10" s="12" t="s">
        <v>84</v>
      </c>
      <c r="E10" s="12" t="s">
        <v>85</v>
      </c>
      <c r="F10" s="13" t="s">
        <v>62</v>
      </c>
      <c r="G10" s="13" t="s">
        <v>86</v>
      </c>
      <c r="H10" s="13" t="s">
        <v>80</v>
      </c>
      <c r="I10" s="12" t="s">
        <v>87</v>
      </c>
    </row>
    <row r="11" spans="1:9" ht="62" customHeight="1">
      <c r="A11" s="13" t="s">
        <v>25</v>
      </c>
      <c r="B11" s="13" t="s">
        <v>88</v>
      </c>
      <c r="C11" s="13" t="s">
        <v>89</v>
      </c>
      <c r="D11" s="12" t="s">
        <v>30</v>
      </c>
      <c r="E11" s="12" t="s">
        <v>90</v>
      </c>
      <c r="F11" s="13" t="s">
        <v>62</v>
      </c>
      <c r="G11" s="13" t="s">
        <v>79</v>
      </c>
      <c r="H11" s="13" t="s">
        <v>80</v>
      </c>
      <c r="I11" s="12" t="s">
        <v>91</v>
      </c>
    </row>
    <row r="12" spans="1:9" ht="62" customHeight="1">
      <c r="A12" s="13" t="s">
        <v>31</v>
      </c>
      <c r="B12" s="13" t="s">
        <v>92</v>
      </c>
      <c r="C12" s="13" t="s">
        <v>93</v>
      </c>
      <c r="D12" s="12" t="s">
        <v>30</v>
      </c>
      <c r="E12" s="12" t="s">
        <v>90</v>
      </c>
      <c r="F12" s="13" t="s">
        <v>62</v>
      </c>
      <c r="G12" s="13" t="s">
        <v>79</v>
      </c>
      <c r="H12" s="13" t="s">
        <v>80</v>
      </c>
      <c r="I12" s="12" t="s">
        <v>91</v>
      </c>
    </row>
    <row r="13" spans="1:9" ht="62" customHeight="1">
      <c r="A13" s="13" t="s">
        <v>36</v>
      </c>
      <c r="B13" s="13" t="s">
        <v>94</v>
      </c>
      <c r="C13" s="13" t="s">
        <v>95</v>
      </c>
      <c r="D13" s="12" t="s">
        <v>96</v>
      </c>
      <c r="E13" s="12" t="s">
        <v>97</v>
      </c>
      <c r="F13" s="13" t="s">
        <v>62</v>
      </c>
      <c r="G13" s="13" t="s">
        <v>79</v>
      </c>
      <c r="H13" s="13" t="s">
        <v>80</v>
      </c>
      <c r="I13" s="12" t="s">
        <v>98</v>
      </c>
    </row>
    <row r="14" spans="1:9" ht="62" customHeight="1">
      <c r="A14" s="13" t="s">
        <v>42</v>
      </c>
      <c r="B14" s="13" t="s">
        <v>99</v>
      </c>
      <c r="C14" s="13" t="s">
        <v>100</v>
      </c>
      <c r="D14" s="12" t="s">
        <v>101</v>
      </c>
      <c r="E14" s="12" t="s">
        <v>102</v>
      </c>
      <c r="F14" s="13" t="s">
        <v>62</v>
      </c>
      <c r="G14" s="13" t="s">
        <v>79</v>
      </c>
      <c r="H14" s="13" t="s">
        <v>80</v>
      </c>
      <c r="I14" s="12" t="s">
        <v>103</v>
      </c>
    </row>
    <row r="15" spans="1:9" ht="62" customHeight="1">
      <c r="A15" s="13" t="s">
        <v>48</v>
      </c>
      <c r="B15" s="13" t="s">
        <v>104</v>
      </c>
      <c r="C15" s="13" t="s">
        <v>105</v>
      </c>
      <c r="D15" s="12" t="s">
        <v>96</v>
      </c>
      <c r="E15" s="12" t="s">
        <v>97</v>
      </c>
      <c r="F15" s="13" t="s">
        <v>62</v>
      </c>
      <c r="G15" s="13" t="s">
        <v>79</v>
      </c>
      <c r="H15" s="13" t="s">
        <v>80</v>
      </c>
      <c r="I15" s="12" t="s">
        <v>103</v>
      </c>
    </row>
    <row r="16" spans="1:9" ht="62" customHeight="1">
      <c r="A16" s="13" t="s">
        <v>53</v>
      </c>
      <c r="B16" s="13" t="s">
        <v>106</v>
      </c>
      <c r="C16" s="13" t="s">
        <v>107</v>
      </c>
      <c r="D16" s="12" t="s">
        <v>108</v>
      </c>
      <c r="E16" s="12" t="s">
        <v>109</v>
      </c>
      <c r="F16" s="13" t="s">
        <v>62</v>
      </c>
      <c r="G16" s="13" t="s">
        <v>86</v>
      </c>
      <c r="H16" s="13" t="s">
        <v>80</v>
      </c>
      <c r="I16" s="12" t="s">
        <v>110</v>
      </c>
    </row>
  </sheetData>
  <mergeCells count="11">
    <mergeCell ref="A5:B5"/>
    <mergeCell ref="C5:D5"/>
    <mergeCell ref="E5:F5"/>
    <mergeCell ref="G5:H5"/>
    <mergeCell ref="A7:I7"/>
    <mergeCell ref="A1:I1"/>
    <mergeCell ref="A2:I2"/>
    <mergeCell ref="A4:B4"/>
    <mergeCell ref="C4:D4"/>
    <mergeCell ref="E4:F4"/>
    <mergeCell ref="G4:H4"/>
  </mergeCells>
  <dataValidations count="1">
    <dataValidation type="list" sqref="F9:F16" xr:uid="{00000000-0002-0000-0100-000000000000}">
      <formula1>"PASS,FAIL,BLOCKED,NOT RUN"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tabSelected="1" topLeftCell="H1" workbookViewId="0">
      <pane ySplit="5" topLeftCell="A6" activePane="bottomLeft" state="frozen"/>
      <selection pane="bottomLeft" activeCell="J6" sqref="J6"/>
    </sheetView>
  </sheetViews>
  <sheetFormatPr defaultRowHeight="14"/>
  <cols>
    <col min="1" max="1" width="18" customWidth="1"/>
    <col min="2" max="3" width="21" customWidth="1"/>
    <col min="4" max="4" width="19" customWidth="1"/>
    <col min="5" max="5" width="40" customWidth="1"/>
    <col min="6" max="6" width="31" customWidth="1"/>
    <col min="7" max="8" width="42" customWidth="1"/>
    <col min="9" max="9" width="48" customWidth="1"/>
    <col min="10" max="10" width="38" customWidth="1"/>
    <col min="11" max="11" width="28" customWidth="1"/>
    <col min="12" max="13" width="16" customWidth="1"/>
  </cols>
  <sheetData>
    <row r="1" spans="1:13" ht="32" customHeight="1">
      <c r="A1" s="4" t="s">
        <v>111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0" customHeight="1">
      <c r="A2" s="5" t="s">
        <v>112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30" customHeight="1">
      <c r="A4" s="6" t="s">
        <v>113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" customHeight="1">
      <c r="A5" s="1" t="s">
        <v>114</v>
      </c>
      <c r="B5" s="1" t="s">
        <v>115</v>
      </c>
      <c r="C5" s="1" t="s">
        <v>5</v>
      </c>
      <c r="D5" s="1" t="s">
        <v>116</v>
      </c>
      <c r="E5" s="1" t="s">
        <v>117</v>
      </c>
      <c r="F5" s="1" t="s">
        <v>7</v>
      </c>
      <c r="G5" s="1" t="s">
        <v>118</v>
      </c>
      <c r="H5" s="1" t="s">
        <v>10</v>
      </c>
      <c r="I5" s="1" t="s">
        <v>70</v>
      </c>
      <c r="J5" s="1" t="s">
        <v>119</v>
      </c>
      <c r="K5" s="1" t="s">
        <v>71</v>
      </c>
      <c r="L5" s="1" t="s">
        <v>120</v>
      </c>
      <c r="M5" s="1" t="s">
        <v>121</v>
      </c>
    </row>
    <row r="6" spans="1:13" ht="85" customHeight="1">
      <c r="A6" s="13" t="s">
        <v>122</v>
      </c>
      <c r="B6" s="13" t="s">
        <v>123</v>
      </c>
      <c r="C6" s="13" t="s">
        <v>124</v>
      </c>
      <c r="D6" s="13" t="s">
        <v>125</v>
      </c>
      <c r="E6" s="12" t="s">
        <v>126</v>
      </c>
      <c r="F6" s="12" t="s">
        <v>127</v>
      </c>
      <c r="G6" s="12" t="s">
        <v>128</v>
      </c>
      <c r="H6" s="12" t="s">
        <v>129</v>
      </c>
      <c r="I6" s="12" t="s">
        <v>130</v>
      </c>
      <c r="J6" s="13" t="s">
        <v>149</v>
      </c>
      <c r="K6" s="13" t="s">
        <v>131</v>
      </c>
      <c r="L6" s="13" t="s">
        <v>132</v>
      </c>
      <c r="M6" s="13" t="s">
        <v>132</v>
      </c>
    </row>
    <row r="7" spans="1:13" ht="85" customHeight="1">
      <c r="A7" s="13" t="s">
        <v>133</v>
      </c>
      <c r="B7" s="13" t="s">
        <v>134</v>
      </c>
      <c r="C7" s="13" t="s">
        <v>135</v>
      </c>
      <c r="D7" s="13" t="s">
        <v>125</v>
      </c>
      <c r="E7" s="12" t="s">
        <v>136</v>
      </c>
      <c r="F7" s="12" t="s">
        <v>137</v>
      </c>
      <c r="G7" s="12" t="s">
        <v>138</v>
      </c>
      <c r="H7" s="12" t="s">
        <v>139</v>
      </c>
      <c r="I7" s="12" t="s">
        <v>140</v>
      </c>
      <c r="J7" s="13" t="s">
        <v>149</v>
      </c>
      <c r="K7" s="13" t="s">
        <v>131</v>
      </c>
      <c r="L7" s="13" t="s">
        <v>132</v>
      </c>
      <c r="M7" s="13" t="s">
        <v>132</v>
      </c>
    </row>
    <row r="8" spans="1:13" ht="85" customHeight="1">
      <c r="A8" s="13" t="s">
        <v>141</v>
      </c>
      <c r="B8" s="13" t="s">
        <v>142</v>
      </c>
      <c r="C8" s="13" t="s">
        <v>143</v>
      </c>
      <c r="D8" s="13" t="s">
        <v>125</v>
      </c>
      <c r="E8" s="12" t="s">
        <v>144</v>
      </c>
      <c r="F8" s="12" t="s">
        <v>145</v>
      </c>
      <c r="G8" s="12" t="s">
        <v>146</v>
      </c>
      <c r="H8" s="12" t="s">
        <v>147</v>
      </c>
      <c r="I8" s="12" t="s">
        <v>148</v>
      </c>
      <c r="J8" s="13" t="s">
        <v>149</v>
      </c>
      <c r="K8" s="13" t="s">
        <v>150</v>
      </c>
      <c r="L8" s="13" t="s">
        <v>132</v>
      </c>
      <c r="M8" s="13" t="s">
        <v>132</v>
      </c>
    </row>
    <row r="9" spans="1:13" ht="85" customHeight="1">
      <c r="A9" s="13" t="s">
        <v>151</v>
      </c>
      <c r="B9" s="13" t="s">
        <v>152</v>
      </c>
      <c r="C9" s="13" t="s">
        <v>124</v>
      </c>
      <c r="D9" s="13" t="s">
        <v>125</v>
      </c>
      <c r="E9" s="12" t="s">
        <v>153</v>
      </c>
      <c r="F9" s="12" t="s">
        <v>137</v>
      </c>
      <c r="G9" s="12" t="s">
        <v>154</v>
      </c>
      <c r="H9" s="12" t="s">
        <v>155</v>
      </c>
      <c r="I9" s="12" t="s">
        <v>156</v>
      </c>
      <c r="J9" s="13" t="s">
        <v>149</v>
      </c>
      <c r="K9" s="13" t="s">
        <v>150</v>
      </c>
      <c r="L9" s="13" t="s">
        <v>132</v>
      </c>
      <c r="M9" s="13" t="s">
        <v>132</v>
      </c>
    </row>
    <row r="10" spans="1:13" ht="85" customHeight="1">
      <c r="A10" s="13" t="s">
        <v>157</v>
      </c>
      <c r="B10" s="13" t="s">
        <v>158</v>
      </c>
      <c r="C10" s="13" t="s">
        <v>159</v>
      </c>
      <c r="D10" s="13" t="s">
        <v>160</v>
      </c>
      <c r="E10" s="12" t="s">
        <v>161</v>
      </c>
      <c r="F10" s="12" t="s">
        <v>162</v>
      </c>
      <c r="G10" s="12" t="s">
        <v>163</v>
      </c>
      <c r="H10" s="12" t="s">
        <v>164</v>
      </c>
      <c r="I10" s="12" t="s">
        <v>165</v>
      </c>
      <c r="J10" s="13" t="s">
        <v>149</v>
      </c>
      <c r="K10" s="13" t="s">
        <v>150</v>
      </c>
      <c r="L10" s="13" t="s">
        <v>132</v>
      </c>
      <c r="M10" s="13" t="s">
        <v>132</v>
      </c>
    </row>
    <row r="11" spans="1:13" ht="85" customHeight="1">
      <c r="A11" s="13" t="s">
        <v>166</v>
      </c>
      <c r="B11" s="13" t="s">
        <v>142</v>
      </c>
      <c r="C11" s="13" t="s">
        <v>143</v>
      </c>
      <c r="D11" s="13" t="s">
        <v>167</v>
      </c>
      <c r="E11" s="12" t="s">
        <v>168</v>
      </c>
      <c r="F11" s="12" t="s">
        <v>169</v>
      </c>
      <c r="G11" s="12" t="s">
        <v>146</v>
      </c>
      <c r="H11" s="12" t="s">
        <v>170</v>
      </c>
      <c r="I11" s="12" t="s">
        <v>171</v>
      </c>
      <c r="J11" s="13" t="s">
        <v>149</v>
      </c>
      <c r="K11" s="13" t="s">
        <v>150</v>
      </c>
      <c r="L11" s="13" t="s">
        <v>132</v>
      </c>
      <c r="M11" s="13" t="s">
        <v>132</v>
      </c>
    </row>
    <row r="12" spans="1:13" ht="85" customHeight="1">
      <c r="A12" s="13" t="s">
        <v>172</v>
      </c>
      <c r="B12" s="13" t="s">
        <v>173</v>
      </c>
      <c r="C12" s="13" t="s">
        <v>124</v>
      </c>
      <c r="D12" s="13" t="s">
        <v>174</v>
      </c>
      <c r="E12" s="12" t="s">
        <v>175</v>
      </c>
      <c r="F12" s="12" t="s">
        <v>176</v>
      </c>
      <c r="G12" s="12" t="s">
        <v>177</v>
      </c>
      <c r="H12" s="12" t="s">
        <v>178</v>
      </c>
      <c r="I12" s="12" t="s">
        <v>179</v>
      </c>
      <c r="J12" s="13" t="s">
        <v>149</v>
      </c>
      <c r="K12" s="13" t="s">
        <v>180</v>
      </c>
      <c r="L12" s="13" t="s">
        <v>132</v>
      </c>
      <c r="M12" s="13" t="s">
        <v>132</v>
      </c>
    </row>
  </sheetData>
  <mergeCells count="3">
    <mergeCell ref="A1:M1"/>
    <mergeCell ref="A2:M2"/>
    <mergeCell ref="A4:M4"/>
  </mergeCells>
  <dataValidations count="2">
    <dataValidation type="list" sqref="K6:K12" xr:uid="{00000000-0002-0000-0200-000000000000}">
      <formula1>"Observed — pending confirmation,Needs reproduction,Needs screenshot / confirmation,Confirmed,Closed,Rejected"</formula1>
    </dataValidation>
    <dataValidation type="list" sqref="L6:M12" xr:uid="{00000000-0002-0000-0200-000001000000}">
      <formula1>"Not assessed,Low,Medium,High,Critical"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Test_Cases</vt:lpstr>
      <vt:lpstr>Test_Execution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Alman Firdaus</cp:lastModifiedBy>
  <dcterms:modified xsi:type="dcterms:W3CDTF">2026-10-12T18:48:54Z</dcterms:modified>
</cp:coreProperties>
</file>