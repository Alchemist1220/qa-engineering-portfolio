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480675E5-034C-40A9-AFC3-83D48E6C5C7F}" xr6:coauthVersionLast="47" xr6:coauthVersionMax="47" xr10:uidLastSave="{00000000-0000-0000-0000-000000000000}"/>
  <bookViews>
    <workbookView xWindow="-110" yWindow="-110" windowWidth="19420" windowHeight="10300" activeTab="3" xr2:uid="{00000000-000D-0000-FFFF-FFFF00000000}"/>
  </bookViews>
  <sheets>
    <sheet name="Test_Cases" sheetId="1" r:id="rId1"/>
    <sheet name="Test_Execution" sheetId="2" r:id="rId2"/>
    <sheet name="Bug_Reports" sheetId="3" r:id="rId3"/>
    <sheet name="Test_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 l="1"/>
  <c r="D22" i="4"/>
  <c r="C22" i="4"/>
  <c r="B22" i="4"/>
  <c r="E19" i="4"/>
  <c r="G14" i="4"/>
  <c r="E14" i="4"/>
  <c r="C14" i="4"/>
  <c r="A14" i="4"/>
  <c r="G5" i="2"/>
  <c r="C5" i="2"/>
  <c r="E5" i="2"/>
  <c r="A5" i="2"/>
  <c r="E21" i="4"/>
  <c r="D21" i="4"/>
  <c r="C21" i="4"/>
  <c r="B21" i="4"/>
  <c r="E20" i="4"/>
  <c r="D20" i="4"/>
  <c r="C20" i="4"/>
  <c r="B20" i="4"/>
  <c r="D19" i="4"/>
  <c r="C19" i="4"/>
  <c r="B19" i="4"/>
</calcChain>
</file>

<file path=xl/sharedStrings.xml><?xml version="1.0" encoding="utf-8"?>
<sst xmlns="http://schemas.openxmlformats.org/spreadsheetml/2006/main" count="405" uniqueCount="290">
  <si>
    <t>QA TESTING PROJECT | TEST CASES</t>
  </si>
  <si>
    <t>Application Under Test: SauceDemo / Swag Labs | Scope: Login, checkout field validation, and one product-to-order workflow.</t>
  </si>
  <si>
    <t>Guidance: Expected results describe intended behavior. Actual results should reflect observed behavior; preliminary account-specific observations are tracked separately.</t>
  </si>
  <si>
    <t>Test Case ID</t>
  </si>
  <si>
    <t>Scenario ID</t>
  </si>
  <si>
    <t>Module</t>
  </si>
  <si>
    <t>Test Case Title</t>
  </si>
  <si>
    <t>Preconditions</t>
  </si>
  <si>
    <t>Test Data</t>
  </si>
  <si>
    <t>Test Steps (Summary)</t>
  </si>
  <si>
    <t>Expected Result</t>
  </si>
  <si>
    <t>TC-LOGIN-001</t>
  </si>
  <si>
    <t>TS-LOGIN-001</t>
  </si>
  <si>
    <t>Login</t>
  </si>
  <si>
    <t>Login with valid credentials</t>
  </si>
  <si>
    <t>User is on the SauceDemo login page.</t>
  </si>
  <si>
    <t>Username: standard_user
Password: secret_sauce</t>
  </si>
  <si>
    <t>1. Enter username.
2. Enter password.
3. Click Login.</t>
  </si>
  <si>
    <t>User is authenticated and redirected to the Products/Inventory page.</t>
  </si>
  <si>
    <t>TC-LOGIN-002</t>
  </si>
  <si>
    <t>TS-LOGIN-002</t>
  </si>
  <si>
    <t>Login with invalid credentials</t>
  </si>
  <si>
    <t>Username:  standard_user (leading space)
Password: secret_saucE (uppercase E)</t>
  </si>
  <si>
    <t>1. Enter the recorded username.
2. Enter the recorded password.
3. Click Login.</t>
  </si>
  <si>
    <t>Login is rejected and the system displays an appropriate error message.</t>
  </si>
  <si>
    <t>TC-LOGIN-003</t>
  </si>
  <si>
    <t>TS-LOGIN-003</t>
  </si>
  <si>
    <t>Valid username with invalid password</t>
  </si>
  <si>
    <t>Username: standard_user
Password: wrong_password</t>
  </si>
  <si>
    <t>1. Enter valid username.
2. Enter incorrect password.
3. Click Login.</t>
  </si>
  <si>
    <t>Login is rejected and an authentication error is displayed.</t>
  </si>
  <si>
    <t>TC-LOGIN-004</t>
  </si>
  <si>
    <t>TS-LOGIN-004</t>
  </si>
  <si>
    <t>Invalid username with valid password</t>
  </si>
  <si>
    <t>Username: wrong_user
Password: secret_sauce</t>
  </si>
  <si>
    <t>1. Enter invalid username.
2. Enter valid password.
3. Click Login.</t>
  </si>
  <si>
    <t>TC-LOGIN-005</t>
  </si>
  <si>
    <t>TS-LOGIN-005</t>
  </si>
  <si>
    <t>Both username and password fields are empty</t>
  </si>
  <si>
    <t>Username: blank
Password: blank</t>
  </si>
  <si>
    <t>1. Leave both fields empty.
2. Click Login.</t>
  </si>
  <si>
    <t>Login is prevented and "Epic sadface: Username is required" is displayed.</t>
  </si>
  <si>
    <t>TC-LOGIN-006</t>
  </si>
  <si>
    <t>TS-LOGIN-006</t>
  </si>
  <si>
    <t>Username is entered; password is empty</t>
  </si>
  <si>
    <t>Username: standard_user
Password: blank</t>
  </si>
  <si>
    <t>1. Enter username.
2. Leave password empty.
3. Click Login.</t>
  </si>
  <si>
    <t>Login is prevented and "Epic sadface: Password is required" is displayed.</t>
  </si>
  <si>
    <t>TC-LOGIN-007</t>
  </si>
  <si>
    <t>TS-LOGIN-007</t>
  </si>
  <si>
    <t>Username is empty; password is entered</t>
  </si>
  <si>
    <t>Username: blank
Password: secret_sauce</t>
  </si>
  <si>
    <t>1. Leave username empty.
2. Enter password.
3. Click Login.</t>
  </si>
  <si>
    <t>TC-LOGIN-008</t>
  </si>
  <si>
    <t>TS-LOGIN-008</t>
  </si>
  <si>
    <t>Login using a locked-out account</t>
  </si>
  <si>
    <t>Username: locked_out_user
Password: secret_sauce</t>
  </si>
  <si>
    <t>1. Enter locked-out username.
2. Enter demo password.
3. Click Login.</t>
  </si>
  <si>
    <t>Login is rejected and "Epic sadface: Sorry, this user has been locked out." is displayed.</t>
  </si>
  <si>
    <t>TC-CHK-001</t>
  </si>
  <si>
    <t>TS-CHK-001</t>
  </si>
  <si>
    <t>Checkout</t>
  </si>
  <si>
    <t>Reject checkout when all required fields are blank</t>
  </si>
  <si>
    <t>User has an item in the cart and is on the Checkout: Your Information page.</t>
  </si>
  <si>
    <t>First Name: blank
Last Name: blank
Zip/Postal Code: blank</t>
  </si>
  <si>
    <t>1. Leave all three fields empty.
2. Click Continue.</t>
  </si>
  <si>
    <t>The system prevents continuation and displays "Error: First Name is required".</t>
  </si>
  <si>
    <t>TC-CHK-002</t>
  </si>
  <si>
    <t>TS-CHK-002</t>
  </si>
  <si>
    <t>Require Last Name when the field is blank</t>
  </si>
  <si>
    <t>User is on the Checkout: Your Information page.</t>
  </si>
  <si>
    <t>First Name: non-empty
Last Name: blank
Zip/Postal Code: non-empty</t>
  </si>
  <si>
    <t>1. Enter First Name.
2. Leave Last Name blank.
3. Enter Zip/Postal Code.
4. Click Continue.</t>
  </si>
  <si>
    <t>The system prevents continuation and displays "Error: Last Name is required".</t>
  </si>
  <si>
    <t>TC-CHK-003</t>
  </si>
  <si>
    <t>TS-CHK-003</t>
  </si>
  <si>
    <t>Require Postal Code when the field is blank</t>
  </si>
  <si>
    <t>First Name: non-empty
Last Name: non-empty
Zip/Postal Code: blank</t>
  </si>
  <si>
    <t>1. Enter First Name.
2. Enter Last Name.
3. Leave Zip/Postal Code blank.
4. Click Continue.</t>
  </si>
  <si>
    <t>The system prevents continuation and displays "Error: Postal Code is required".</t>
  </si>
  <si>
    <t>TC-INT-001</t>
  </si>
  <si>
    <t>TS-INT-001</t>
  </si>
  <si>
    <t>End-to-End Workflow</t>
  </si>
  <si>
    <t>Complete product-to-order workflow</t>
  </si>
  <si>
    <t>User is logged out and the SauceDemo login page is available.</t>
  </si>
  <si>
    <t>Username: standard_user
Password: secret_sauce
Product: Sauce Labs Backpack
First Name: Test
Last Name: QA
Zip/Postal Code: 12345</t>
  </si>
  <si>
    <t>1. Log in.
2. Add Sauce Labs Backpack to the cart.
3. Verify cart details and quantity.
4. Enter checkout information and continue.
5. Review item, tax, and total.
6. Finish the order.
7. Verify order confirmation.
8. Download and inspect the order receipt PDF.
9. Select Back Home.</t>
  </si>
  <si>
    <t>The selected product, quantity, and price remain consistent across Product, Cart, and Checkout. The order completes successfully, the receipt PDF matches the order details, and Back Home returns to Inventory with the cart reset.</t>
  </si>
  <si>
    <t>QA TESTING PROJECT | TEST EXECUTION</t>
  </si>
  <si>
    <t>Results cover login, checkout required-field validation, and one end-to-end product-to-order workflow. Account-specific exploratory findings remain preliminary.</t>
  </si>
  <si>
    <t>TOTAL EXECUTED</t>
  </si>
  <si>
    <t>PASS</t>
  </si>
  <si>
    <t>FAIL</t>
  </si>
  <si>
    <t>BLOCKED</t>
  </si>
  <si>
    <t>SCOPE</t>
  </si>
  <si>
    <t>Login + checkout + E2E</t>
  </si>
  <si>
    <t>PASS means the actual behavior matched the expected result for that test. Product/UI observations are tracked separately in Bug_Reports and are not counted as login test failures.</t>
  </si>
  <si>
    <t>Scenario</t>
  </si>
  <si>
    <t>Test Data Summary</t>
  </si>
  <si>
    <t>Actual Result</t>
  </si>
  <si>
    <t>Status</t>
  </si>
  <si>
    <t>Reported Date</t>
  </si>
  <si>
    <t>Tester</t>
  </si>
  <si>
    <t>Notes</t>
  </si>
  <si>
    <t>Valid username + valid password</t>
  </si>
  <si>
    <t>standard_user / secret_sauce</t>
  </si>
  <si>
    <t>User is authenticated and Products page is displayed.</t>
  </si>
  <si>
    <t>User was successfully logged in and redirected to the Products page.</t>
  </si>
  <si>
    <t>2026-10-05</t>
  </si>
  <si>
    <t>Muhammad Alman Firdaus</t>
  </si>
  <si>
    <t>Based on reported manual execution.</t>
  </si>
  <si>
    <t>Invalid credential combination</t>
  </si>
  <si>
    <t>Username has leading space; password "secret_saucE"</t>
  </si>
  <si>
    <t>Login is rejected and an appropriate error message is displayed.</t>
  </si>
  <si>
    <t>Login was rejected. Message: "Epic sadface: Username and password do not match any user in this service".</t>
  </si>
  <si>
    <t>2026-10-12</t>
  </si>
  <si>
    <t>Two input variables differ from valid credentials; this does not isolate the whitespace behavior.</t>
  </si>
  <si>
    <t>Valid username + invalid password</t>
  </si>
  <si>
    <t>standard_user / wrong_password</t>
  </si>
  <si>
    <t>Error displayed: "Epic sadface: Username and password do not match any user in this service". Cross icons appeared in both fields.</t>
  </si>
  <si>
    <t>Observed behavior matches the rejection expectation.</t>
  </si>
  <si>
    <t>Invalid username + valid password</t>
  </si>
  <si>
    <t>wrong_user / secret_sauce</t>
  </si>
  <si>
    <t>Both username and password empty</t>
  </si>
  <si>
    <t>blank / blank</t>
  </si>
  <si>
    <t>Login is prevented; "Epic sadface: Username is required" is displayed.</t>
  </si>
  <si>
    <t>User remained on login page. Message: "Epic sadface: Username is required".</t>
  </si>
  <si>
    <t>Validation checks username first.</t>
  </si>
  <si>
    <t>Username entered; password empty</t>
  </si>
  <si>
    <t>standard_user / blank</t>
  </si>
  <si>
    <t>Login is prevented; "Epic sadface: Password is required" is displayed.</t>
  </si>
  <si>
    <t>User remained on login page. Message: "Epic sadface: Password is required".</t>
  </si>
  <si>
    <t>Observed field validation.</t>
  </si>
  <si>
    <t>Username empty; password entered</t>
  </si>
  <si>
    <t>blank / secret_sauce</t>
  </si>
  <si>
    <t>Locked-out user</t>
  </si>
  <si>
    <t>locked_out_user / secret_sauce</t>
  </si>
  <si>
    <t>Login is rejected; "Epic sadface: Sorry, this user has been locked out." is displayed.</t>
  </si>
  <si>
    <t>Login was rejected. Message: "Epic sadface: Sorry, this user has been locked out."</t>
  </si>
  <si>
    <t>Reported during exploration of demo accounts.</t>
  </si>
  <si>
    <t>Checkout: all required fields blank</t>
  </si>
  <si>
    <t>First Name: blank; Last Name: blank; Zip/Postal Code: blank</t>
  </si>
  <si>
    <t>System blocks continuation and displays "Error: First Name is required".</t>
  </si>
  <si>
    <t>Checkout remained on the information page and displayed "Error: First Name is required".</t>
  </si>
  <si>
    <t>2026-10-13</t>
  </si>
  <si>
    <t>Based on manual execution reported in conversation; no separate screenshot provided.</t>
  </si>
  <si>
    <t>Checkout: Last Name omitted</t>
  </si>
  <si>
    <t>First Name: non-empty; Last Name: blank; Zip/Postal Code: non-empty</t>
  </si>
  <si>
    <t>System blocks continuation and displays "Error: Last Name is required".</t>
  </si>
  <si>
    <t>System displayed "Error: Last Name is required".</t>
  </si>
  <si>
    <t>Based on manual execution reported in conversation; specific field values were not recorded.</t>
  </si>
  <si>
    <t>Checkout: Postal Code omitted</t>
  </si>
  <si>
    <t>First Name: non-empty; Last Name: non-empty; Zip/Postal Code: blank</t>
  </si>
  <si>
    <t>System blocks continuation and displays "Error: Postal Code is required".</t>
  </si>
  <si>
    <t>System displayed "Error: Postal Code is required".</t>
  </si>
  <si>
    <t>End-to-end: Product to order completion</t>
  </si>
  <si>
    <t>standard_user / secret_sauce; Sauce Labs Backpack; Test / QA / 12345</t>
  </si>
  <si>
    <t>Product and cart data remain consistent through checkout; order confirmation appears; receipt PDF matches order details; Back Home returns to Inventory and clears cart indicator.</t>
  </si>
  <si>
    <t>User logged in successfully. Sauce Labs Backpack was added to the cart; Cart showed matching product details, price $29.99, and quantity 1. Checkout Overview displayed item total $29.99, tax $2.40, total $32.39, SauceCard #31337, and Free Pony Express Delivery. After completing checkout, the confirmation message appeared. The downloaded PDF showed Sauce Labs Backpack, shipping details Test QA / 12345, item total $29.99, tax $2.40, and total $32.39. Back Home returned to Inventory and the cart indicator cleared.</t>
  </si>
  <si>
    <t>Composite manual cross-module workflow. Checkout Overview and order-receipt screenshots were provided. This is an end-to-end UI workflow, not verification of internal backend integration.</t>
  </si>
  <si>
    <t>QA TESTING PROJECT | OBSERVED ISSUES</t>
  </si>
  <si>
    <t>Initial findings from SauceDemo demo accounts. Findings remain observations pending confirmation, not claims of newly discovered production defects.</t>
  </si>
  <si>
    <t>Before publishing: reproduce each issue, preserve screenshots, and verify expected behavior. Severity and priority remain unassessed until impact is reviewed.</t>
  </si>
  <si>
    <t>Finding ID</t>
  </si>
  <si>
    <t>Type</t>
  </si>
  <si>
    <t>Test Account</t>
  </si>
  <si>
    <t>Title</t>
  </si>
  <si>
    <t>Steps to Reproduce</t>
  </si>
  <si>
    <t>Evidence File</t>
  </si>
  <si>
    <t>Severity</t>
  </si>
  <si>
    <t>Priority</t>
  </si>
  <si>
    <t>OBS-PRODUCT-001</t>
  </si>
  <si>
    <t>UI / Data consistency</t>
  </si>
  <si>
    <t>Product Listing</t>
  </si>
  <si>
    <t>problem_user</t>
  </si>
  <si>
    <t>Product images do not match their corresponding product information</t>
  </si>
  <si>
    <t>User is logged in and on the Inventory page.</t>
  </si>
  <si>
    <t>1. Log in as problem_user.
2. Inspect the product images for Sauce Labs Backpack, Sauce Labs Bike Light, Sauce Labs Bolt T-Shirt, and Sauce Labs Fleece Jacket.</t>
  </si>
  <si>
    <t>Each product image corresponds to its product name and description.</t>
  </si>
  <si>
    <t>The Inventory screenshot shows the same dog image for several products with different names and descriptions.</t>
  </si>
  <si>
    <t>Screenshot 2026-10-12 162305.png</t>
  </si>
  <si>
    <t>Observed — pending confirmation</t>
  </si>
  <si>
    <t>Not assessed</t>
  </si>
  <si>
    <t>OBS-NAV-001</t>
  </si>
  <si>
    <t>Navigation / Product mapping</t>
  </si>
  <si>
    <t>Product Detail</t>
  </si>
  <si>
    <t>Selecting Sauce Labs Backpack opens the Sauce Labs Fleece Jacket detail page</t>
  </si>
  <si>
    <t>User is logged in and viewing the Inventory page.</t>
  </si>
  <si>
    <t>1. Log in as problem_user.
2. Select Sauce Labs Backpack.
3. Inspect the product detail page and URL.</t>
  </si>
  <si>
    <t>The selected Sauce Labs Backpack detail page should display its corresponding product name, image, description, and price.</t>
  </si>
  <si>
    <t>User reports that clicking Sauce Labs Backpack opened the Sauce Labs Fleece Jacket detail page. The provided detail screenshot shows the title Sauce Labs Fleece Jacket and URL inventory-item.html?id=5.</t>
  </si>
  <si>
    <t>Screenshot 2026-10-12 162305.png; Screenshot 2026-10-12 162409.png</t>
  </si>
  <si>
    <t>OBS-CART-001</t>
  </si>
  <si>
    <t>Functional</t>
  </si>
  <si>
    <t>Shopping Cart</t>
  </si>
  <si>
    <t>Add to Cart / Remove behavior is inconsistent</t>
  </si>
  <si>
    <t>User is logged in and on the Inventory or Product Detail page.</t>
  </si>
  <si>
    <t>Initial observation only; exact product and click sequence still need to be recorded.</t>
  </si>
  <si>
    <t>Add to Cart and Remove should update the cart state consistently on supported product views.</t>
  </si>
  <si>
    <t>User reported that some products could not be added or removed from the Inventory page, while the controls behaved differently after opening product details.</t>
  </si>
  <si>
    <t>Screenshot not yet provided</t>
  </si>
  <si>
    <t>Needs reproduction</t>
  </si>
  <si>
    <t>OBS-PRICE-001</t>
  </si>
  <si>
    <t>UI / Data display</t>
  </si>
  <si>
    <t>Product price display may be inconsistent</t>
  </si>
  <si>
    <t>Initial observation only; exact product and displayed price still need to be recorded.</t>
  </si>
  <si>
    <t>Product prices should use a consistent and expected currency/number format.</t>
  </si>
  <si>
    <t>User reported that some product prices did not appear to use the expected format; exact example not yet recorded.</t>
  </si>
  <si>
    <t>OBS-NAV-002</t>
  </si>
  <si>
    <t>Navigation</t>
  </si>
  <si>
    <t>Login / Product Detail</t>
  </si>
  <si>
    <t>performance_glitch_user</t>
  </si>
  <si>
    <t>Login appeared to open a product detail page instead of Inventory</t>
  </si>
  <si>
    <t>User is on the login page and starts a new session.</t>
  </si>
  <si>
    <t>Initial observation only; must repeat from a fresh session and note the URL.</t>
  </si>
  <si>
    <t>Successful login should lead to the expected landing page unless the app explicitly preserves a redirect destination.</t>
  </si>
  <si>
    <t>User reported that login appeared to land on a product detail page rather than inventory.html.</t>
  </si>
  <si>
    <t>OBS-CART-002</t>
  </si>
  <si>
    <t>error_user</t>
  </si>
  <si>
    <t>Add to Cart / Remove did not work for some products</t>
  </si>
  <si>
    <t>User is logged in and viewing Inventory or Product Detail.</t>
  </si>
  <si>
    <t>Cart actions should work consistently according to the product page state.</t>
  </si>
  <si>
    <t>User reported that Add to Cart and Remove did not work for some products even after opening their detail page.</t>
  </si>
  <si>
    <t>OBS-UI-001</t>
  </si>
  <si>
    <t>Visual / UI</t>
  </si>
  <si>
    <t>visual_user</t>
  </si>
  <si>
    <t>Product page layout appeared broken</t>
  </si>
  <si>
    <t>User is logged in as visual_user.</t>
  </si>
  <si>
    <t>1. Log in as visual_user.
2. Open the Inventory page.
3. Compare the layout with the same page under standard_user.</t>
  </si>
  <si>
    <t>Product information and controls are laid out consistently and remain readable.</t>
  </si>
  <si>
    <t>User reported that some UI elements/layout appeared disorganized although the main features remained usable.</t>
  </si>
  <si>
    <t>Needs screenshot / confirmation</t>
  </si>
  <si>
    <t>QA TESTING PROJECT | TEST SUMMARY REPORT</t>
  </si>
  <si>
    <t>Independent manual testing of SauceDemo. Counts reflect recorded scenarios only; exploratory observations are not treated as confirmed production defects.</t>
  </si>
  <si>
    <t>PROJECT INFORMATION</t>
  </si>
  <si>
    <t>Project Name</t>
  </si>
  <si>
    <t>Independent QA Testing Project — SauceDemo</t>
  </si>
  <si>
    <t>Application Under Test</t>
  </si>
  <si>
    <t>SauceDemo / Swag Labs</t>
  </si>
  <si>
    <t>Application URL</t>
  </si>
  <si>
    <t>https://www.saucedemo.com</t>
  </si>
  <si>
    <t>Execution Period</t>
  </si>
  <si>
    <t>Test Environment</t>
  </si>
  <si>
    <t>Google Chrome on Windows; exact browser/OS versions not recorded</t>
  </si>
  <si>
    <t>Testing Approach</t>
  </si>
  <si>
    <t>Manual functional testing, exploratory testing, and one end-to-end cross-module UI workflow</t>
  </si>
  <si>
    <t>EXECUTION METRICS</t>
  </si>
  <si>
    <t>PASSED</t>
  </si>
  <si>
    <t>FAILED</t>
  </si>
  <si>
    <t>RESULTS BY TEST GROUP</t>
  </si>
  <si>
    <t>Test Group</t>
  </si>
  <si>
    <t>Executed</t>
  </si>
  <si>
    <t>Passed</t>
  </si>
  <si>
    <t>Failed</t>
  </si>
  <si>
    <t>Blocked</t>
  </si>
  <si>
    <t>Scope / Notes</t>
  </si>
  <si>
    <t>Eight recorded authentication scenarios.</t>
  </si>
  <si>
    <t>Checkout required-field validation</t>
  </si>
  <si>
    <t>Three required-field validation scenarios.</t>
  </si>
  <si>
    <t>End-to-end cross-module workflow</t>
  </si>
  <si>
    <t>One composite Product-to-Order UI workflow.</t>
  </si>
  <si>
    <t>KEY RESULTS, OBSERVATIONS, AND LIMITATIONS</t>
  </si>
  <si>
    <t>• Recorded test coverage: 8 login cases, 3 checkout required-field validation cases, and 1 end-to-end product-to-order workflow. The workflow's individual actions are documented in the test case steps; counts represent records, not individual clicks.</t>
  </si>
  <si>
    <t>• Exploratory account-specific issues are documented in Bug_Reports as preliminary observations. They require reproduction and expected-behavior confirmation before being treated as confirmed defects. They are not counted as failed test cases.</t>
  </si>
  <si>
    <t>• Additional checkout observations: leaving all checkout fields blank displayed the First Name required message; omitting Last Name or Postal Code produced the corresponding required-field message. The application accepted identical values in all three fields during an exploratory attempt, but no business rule was provided to determine whether that behavior is invalid.</t>
  </si>
  <si>
    <t>• Checkout Overview displayed Sauce Labs Backpack, quantity 1, item total $29.99, tax $2.40, and total $32.39. The receipt PDF showed matching order details and the shipping information Test QA / 12345 based on visual inspection.</t>
  </si>
  <si>
    <t>• The checkout Cancel action returned to Inventory while preserving the cart in the observed session. After order completion, Back Home returned to Inventory and the cart indicator cleared.</t>
  </si>
  <si>
    <t>• Limitations: this is a manual practice project on a demo application. Browser/OS versions were not recorded, and results do not establish the overall quality or production readiness of the application.</t>
  </si>
  <si>
    <t>CONCLUSION</t>
  </si>
  <si>
    <t>RECOMMENDED NEXT STEPS</t>
  </si>
  <si>
    <t>1. Review this workbook and correct any actual result or test data that does not match the execution performed.</t>
  </si>
  <si>
    <t>2. Add the relevant screenshot files to the GitHub repository if you plan to publish the evidence.</t>
  </si>
  <si>
    <t>3. Continue with Jira defect lifecycle practice, followed by basic Postman/REST and MySQL exercises aligned with the POSe.id internship description.</t>
  </si>
  <si>
    <t>TC-PRODUCT-001</t>
  </si>
  <si>
    <t>Verify that selecting a product opens the corresponding product detail page.</t>
  </si>
  <si>
    <r>
      <t xml:space="preserve">User is logged in using the </t>
    </r>
    <r>
      <rPr>
        <sz val="10"/>
        <rFont val="Arial Unicode MS"/>
      </rPr>
      <t>problem_user</t>
    </r>
    <r>
      <rPr>
        <sz val="11"/>
        <rFont val="Carlito"/>
      </rPr>
      <t xml:space="preserve"> demo account and is on the Inventory page.</t>
    </r>
  </si>
  <si>
    <t>Sauce Labs Backpack</t>
  </si>
  <si>
    <t>1. Open the Inventory page                      2. Select Sauce Labs Backpack.             3. Observe the product name and information displayed on the resulting page.</t>
  </si>
  <si>
    <t>The Sauce Labs Backpack detail page is displayed with the corresponding product information.</t>
  </si>
  <si>
    <t>The resulting page displayed Sauce Labs Fleece Jacket instead of Sauce Labs Backpack.</t>
  </si>
  <si>
    <t>Product Detail / Navigation</t>
  </si>
  <si>
    <t>problem_user / Sauce Labs Backpack</t>
  </si>
  <si>
    <t>The Sauce Labs Backpack detail page is displayed with matching product information.</t>
  </si>
  <si>
    <t>Observed with problem_user demo account. Related Jira issue: SCRUM-5. Evidence is attached to the issue.</t>
  </si>
  <si>
    <t>2026-10-14</t>
  </si>
  <si>
    <t>Select Sauce Labs Backpack and verify the corresponding product detail page opens</t>
  </si>
  <si>
    <t>05–14 October 2026 (based on recorded dates)</t>
  </si>
  <si>
    <t>Product Detail / Navigatio</t>
  </si>
  <si>
    <t>Selecting Sauce Labs Backpack displayed Sauce Labs Fleece Jacket when using the problem_user demo account.</t>
  </si>
  <si>
    <t>The recorded login scenarios, checkout required-field validation scenarios, and end-to-end product-to-order workflow behaved as expected during the documented executions. One product navigation test case failed when using the problem_user demo account: selecting Sauce Labs Backpack displayed Sauce Labs Fleece Jacket instead. Other exploratory observations remain preliminary and require further verification before being classified as confirmed defects. These results are limited to the documented test scenarios and do not establish the overall quality or production readiness of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</si>
</sst>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1"/>
      <color rgb="FFFFFFFF"/>
      <name val="Carlito"/>
    </font>
    <font>
      <i/>
      <sz val="11"/>
      <color rgb="FF243746"/>
      <name val="Carlito"/>
    </font>
    <font>
      <i/>
      <sz val="11"/>
      <color rgb="FF92400E"/>
      <name val="Carlito"/>
    </font>
    <font>
      <sz val="11"/>
      <color rgb="FF243746"/>
      <name val="Carlito"/>
    </font>
    <font>
      <b/>
      <sz val="11"/>
      <color rgb="FF243746"/>
      <name val="Carlito"/>
    </font>
    <font>
      <b/>
      <sz val="14"/>
      <color rgb="FFFFFFFF"/>
      <name val="Carlito"/>
    </font>
    <font>
      <i/>
      <sz val="10"/>
      <color rgb="FF31465A"/>
      <name val="Carlito"/>
    </font>
    <font>
      <b/>
      <sz val="10"/>
      <color rgb="FFFFFFFF"/>
      <name val="Carlito"/>
    </font>
    <font>
      <b/>
      <sz val="11"/>
      <color rgb="FF243B53"/>
      <name val="Carlito"/>
    </font>
    <font>
      <sz val="11"/>
      <color rgb="FF243B53"/>
      <name val="Carlito"/>
    </font>
    <font>
      <b/>
      <sz val="20"/>
      <color rgb="FF17324D"/>
      <name val="Carlito"/>
    </font>
    <font>
      <sz val="10"/>
      <color rgb="FF243B53"/>
      <name val="Carlito"/>
    </font>
    <font>
      <sz val="10"/>
      <name val="Arial Unicode MS"/>
    </font>
    <font>
      <sz val="8"/>
      <name val="Carlito"/>
    </font>
  </fonts>
  <fills count="17">
    <fill>
      <patternFill patternType="none"/>
    </fill>
    <fill>
      <patternFill patternType="gray125"/>
    </fill>
    <fill>
      <patternFill patternType="solid">
        <fgColor rgb="FF15324B"/>
      </patternFill>
    </fill>
    <fill>
      <patternFill patternType="solid">
        <fgColor rgb="FFEAF2F8"/>
      </patternFill>
    </fill>
    <fill>
      <patternFill patternType="solid">
        <fgColor rgb="FFFEF3C7"/>
      </patternFill>
    </fill>
    <fill>
      <patternFill patternType="solid">
        <fgColor rgb="FF0F766E"/>
      </patternFill>
    </fill>
    <fill>
      <patternFill patternType="solid">
        <fgColor rgb="FFB91C1C"/>
      </patternFill>
    </fill>
    <fill>
      <patternFill patternType="solid">
        <fgColor rgb="FF64748B"/>
      </patternFill>
    </fill>
    <fill>
      <patternFill patternType="solid">
        <fgColor rgb="FFF3F6F8"/>
      </patternFill>
    </fill>
    <fill>
      <patternFill patternType="solid">
        <fgColor rgb="FF17324D"/>
      </patternFill>
    </fill>
    <fill>
      <patternFill patternType="solid">
        <fgColor rgb="FFEAF1F7"/>
      </patternFill>
    </fill>
    <fill>
      <patternFill patternType="solid">
        <fgColor rgb="FF117C72"/>
      </patternFill>
    </fill>
    <fill>
      <patternFill patternType="solid">
        <fgColor rgb="FFB42318"/>
      </patternFill>
    </fill>
    <fill>
      <patternFill patternType="solid">
        <fgColor rgb="FF64748B"/>
      </patternFill>
    </fill>
    <fill>
      <patternFill patternType="solid">
        <fgColor rgb="FFF3F6F9"/>
      </patternFill>
    </fill>
    <fill>
      <patternFill patternType="solid">
        <fgColor rgb="FFF8FAFC"/>
      </patternFill>
    </fill>
    <fill>
      <patternFill patternType="solid">
        <fgColor rgb="FFFFFFFF"/>
      </patternFill>
    </fill>
  </fills>
  <borders count="1">
    <border>
      <left/>
      <right/>
      <top/>
      <bottom/>
      <diagonal/>
    </border>
  </borders>
  <cellStyleXfs count="1">
    <xf numFmtId="0" fontId="0" fillId="0" borderId="0"/>
  </cellStyleXfs>
  <cellXfs count="39">
    <xf numFmtId="0" fontId="0" fillId="0" borderId="0" xfId="0"/>
    <xf numFmtId="0" fontId="1" fillId="5" borderId="0" xfId="0" applyFont="1" applyFill="1" applyAlignment="1">
      <alignment horizontal="center" vertical="center" wrapText="1"/>
    </xf>
    <xf numFmtId="0" fontId="4" fillId="0" borderId="0" xfId="0" applyFont="1" applyAlignment="1">
      <alignment vertical="top" wrapText="1"/>
    </xf>
    <xf numFmtId="0" fontId="1" fillId="2" borderId="0" xfId="0" applyFont="1" applyFill="1" applyAlignment="1">
      <alignment horizontal="center" vertical="center" wrapText="1"/>
    </xf>
    <xf numFmtId="0" fontId="5" fillId="8" borderId="0" xfId="0" applyFont="1" applyFill="1" applyAlignment="1">
      <alignment horizontal="center" vertical="center"/>
    </xf>
    <xf numFmtId="0" fontId="0" fillId="0" borderId="0" xfId="0" applyAlignment="1">
      <alignment wrapText="1"/>
    </xf>
    <xf numFmtId="0" fontId="1" fillId="11" borderId="0" xfId="0" applyFont="1" applyFill="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5" fillId="8" borderId="0" xfId="0" applyFont="1" applyFill="1" applyAlignment="1">
      <alignment horizontal="center" vertical="center"/>
    </xf>
    <xf numFmtId="0" fontId="3" fillId="4" borderId="0" xfId="0" applyFont="1" applyFill="1" applyAlignment="1">
      <alignment vertical="center" wrapText="1"/>
    </xf>
    <xf numFmtId="0" fontId="1" fillId="2" borderId="0" xfId="0" applyFont="1" applyFill="1" applyAlignment="1">
      <alignment horizontal="left" vertical="center" wrapText="1"/>
    </xf>
    <xf numFmtId="0" fontId="2" fillId="3" borderId="0" xfId="0" applyFont="1" applyFill="1" applyAlignment="1">
      <alignment vertical="center" wrapText="1"/>
    </xf>
    <xf numFmtId="0" fontId="1" fillId="2"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2" fillId="0" borderId="0" xfId="0" applyFont="1" applyAlignment="1">
      <alignment vertical="center" wrapText="1"/>
    </xf>
    <xf numFmtId="0" fontId="12" fillId="15" borderId="0" xfId="0" applyFont="1" applyFill="1" applyAlignment="1">
      <alignment vertical="center" wrapText="1"/>
    </xf>
    <xf numFmtId="0" fontId="12" fillId="16" borderId="0" xfId="0" applyFont="1" applyFill="1" applyAlignment="1">
      <alignment vertical="center" wrapText="1"/>
    </xf>
    <xf numFmtId="0" fontId="8" fillId="9" borderId="0" xfId="0" applyFont="1" applyFill="1" applyAlignment="1">
      <alignment vertical="center" wrapText="1"/>
    </xf>
    <xf numFmtId="0" fontId="12" fillId="10" borderId="0" xfId="0" applyFont="1" applyFill="1" applyAlignment="1">
      <alignment vertical="center" wrapText="1"/>
    </xf>
    <xf numFmtId="0" fontId="1" fillId="11" borderId="0" xfId="0" applyFont="1" applyFill="1" applyAlignment="1">
      <alignment horizontal="center" vertical="center" wrapText="1"/>
    </xf>
    <xf numFmtId="0" fontId="0" fillId="0" borderId="0" xfId="0" applyAlignment="1">
      <alignment vertical="center" wrapText="1"/>
    </xf>
    <xf numFmtId="0" fontId="8" fillId="9" borderId="0" xfId="0" applyFont="1" applyFill="1" applyAlignment="1">
      <alignment horizontal="center" vertical="center" wrapText="1"/>
    </xf>
    <xf numFmtId="0" fontId="8" fillId="11" borderId="0" xfId="0" applyFont="1" applyFill="1" applyAlignment="1">
      <alignment horizontal="center" vertical="center" wrapText="1"/>
    </xf>
    <xf numFmtId="0" fontId="8" fillId="12" borderId="0" xfId="0" applyFont="1" applyFill="1" applyAlignment="1">
      <alignment horizontal="center" vertical="center" wrapText="1"/>
    </xf>
    <xf numFmtId="0" fontId="8" fillId="13" borderId="0" xfId="0" applyFont="1" applyFill="1" applyAlignment="1">
      <alignment horizontal="center" vertical="center" wrapText="1"/>
    </xf>
    <xf numFmtId="0" fontId="11" fillId="14" borderId="0" xfId="0" applyFont="1" applyFill="1" applyAlignment="1">
      <alignment horizontal="center" vertical="center" wrapText="1"/>
    </xf>
    <xf numFmtId="0" fontId="9" fillId="10" borderId="0" xfId="0" applyFont="1" applyFill="1" applyAlignment="1">
      <alignment vertical="center" wrapText="1"/>
    </xf>
    <xf numFmtId="0" fontId="10" fillId="0" borderId="0" xfId="0" applyFont="1" applyAlignment="1">
      <alignment vertical="center" wrapText="1"/>
    </xf>
    <xf numFmtId="0" fontId="6" fillId="9" borderId="0" xfId="0" applyFont="1" applyFill="1" applyAlignment="1">
      <alignment vertical="center" wrapText="1"/>
    </xf>
    <xf numFmtId="0" fontId="7" fillId="10" borderId="0" xfId="0" applyFont="1" applyFill="1" applyAlignment="1">
      <alignment vertical="center" wrapText="1"/>
    </xf>
    <xf numFmtId="0" fontId="0" fillId="0" borderId="0" xfId="0" applyAlignment="1">
      <alignment vertical="center"/>
    </xf>
    <xf numFmtId="0" fontId="0" fillId="0" borderId="0" xfId="0" applyAlignment="1">
      <alignment horizontal="center" vertical="center"/>
    </xf>
    <xf numFmtId="0" fontId="13" fillId="0" borderId="0" xfId="0" applyFont="1" applyAlignment="1">
      <alignmen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pane ySplit="5" topLeftCell="A18" activePane="bottomLeft" state="frozen"/>
      <selection pane="bottomLeft" activeCell="C18" sqref="C18"/>
    </sheetView>
  </sheetViews>
  <sheetFormatPr defaultRowHeight="14"/>
  <cols>
    <col min="1" max="1" width="17" customWidth="1"/>
    <col min="2" max="2" width="16.6640625" bestFit="1" customWidth="1"/>
    <col min="3" max="3" width="14" customWidth="1"/>
    <col min="4" max="5" width="30" customWidth="1"/>
    <col min="6" max="6" width="31" customWidth="1"/>
    <col min="7" max="7" width="34" customWidth="1"/>
    <col min="8" max="8" width="42" customWidth="1"/>
  </cols>
  <sheetData>
    <row r="1" spans="1:8" ht="32" customHeight="1">
      <c r="A1" s="13" t="s">
        <v>0</v>
      </c>
      <c r="B1" s="13"/>
      <c r="C1" s="13"/>
      <c r="D1" s="13"/>
      <c r="E1" s="13"/>
      <c r="F1" s="13"/>
      <c r="G1" s="13"/>
      <c r="H1" s="13"/>
    </row>
    <row r="2" spans="1:8" ht="30" customHeight="1">
      <c r="A2" s="14" t="s">
        <v>1</v>
      </c>
      <c r="B2" s="14"/>
      <c r="C2" s="14"/>
      <c r="D2" s="14"/>
      <c r="E2" s="14"/>
      <c r="F2" s="14"/>
      <c r="G2" s="14"/>
      <c r="H2" s="14"/>
    </row>
    <row r="4" spans="1:8" ht="30" customHeight="1">
      <c r="A4" s="12" t="s">
        <v>2</v>
      </c>
      <c r="B4" s="12"/>
      <c r="C4" s="12"/>
      <c r="D4" s="12"/>
      <c r="E4" s="12"/>
      <c r="F4" s="12"/>
      <c r="G4" s="12"/>
      <c r="H4" s="12"/>
    </row>
    <row r="5" spans="1:8" ht="34" customHeight="1">
      <c r="A5" s="1" t="s">
        <v>3</v>
      </c>
      <c r="B5" s="1" t="s">
        <v>4</v>
      </c>
      <c r="C5" s="1" t="s">
        <v>5</v>
      </c>
      <c r="D5" s="1" t="s">
        <v>6</v>
      </c>
      <c r="E5" s="1" t="s">
        <v>7</v>
      </c>
      <c r="F5" s="1" t="s">
        <v>8</v>
      </c>
      <c r="G5" s="1" t="s">
        <v>9</v>
      </c>
      <c r="H5" s="1" t="s">
        <v>10</v>
      </c>
    </row>
    <row r="6" spans="1:8" ht="70" customHeight="1">
      <c r="A6" s="9" t="s">
        <v>11</v>
      </c>
      <c r="B6" s="9" t="s">
        <v>12</v>
      </c>
      <c r="C6" s="9" t="s">
        <v>13</v>
      </c>
      <c r="D6" s="9" t="s">
        <v>14</v>
      </c>
      <c r="E6" s="9" t="s">
        <v>15</v>
      </c>
      <c r="F6" s="8" t="s">
        <v>16</v>
      </c>
      <c r="G6" s="8" t="s">
        <v>17</v>
      </c>
      <c r="H6" s="8" t="s">
        <v>18</v>
      </c>
    </row>
    <row r="7" spans="1:8" ht="70" customHeight="1">
      <c r="A7" s="9" t="s">
        <v>19</v>
      </c>
      <c r="B7" s="9" t="s">
        <v>20</v>
      </c>
      <c r="C7" s="9" t="s">
        <v>13</v>
      </c>
      <c r="D7" s="9" t="s">
        <v>21</v>
      </c>
      <c r="E7" s="9" t="s">
        <v>15</v>
      </c>
      <c r="F7" s="8" t="s">
        <v>22</v>
      </c>
      <c r="G7" s="8" t="s">
        <v>23</v>
      </c>
      <c r="H7" s="8" t="s">
        <v>24</v>
      </c>
    </row>
    <row r="8" spans="1:8" ht="70" customHeight="1">
      <c r="A8" s="9" t="s">
        <v>25</v>
      </c>
      <c r="B8" s="9" t="s">
        <v>26</v>
      </c>
      <c r="C8" s="9" t="s">
        <v>13</v>
      </c>
      <c r="D8" s="9" t="s">
        <v>27</v>
      </c>
      <c r="E8" s="9" t="s">
        <v>15</v>
      </c>
      <c r="F8" s="8" t="s">
        <v>28</v>
      </c>
      <c r="G8" s="8" t="s">
        <v>29</v>
      </c>
      <c r="H8" s="8" t="s">
        <v>30</v>
      </c>
    </row>
    <row r="9" spans="1:8" ht="70" customHeight="1">
      <c r="A9" s="9" t="s">
        <v>31</v>
      </c>
      <c r="B9" s="9" t="s">
        <v>32</v>
      </c>
      <c r="C9" s="9" t="s">
        <v>13</v>
      </c>
      <c r="D9" s="9" t="s">
        <v>33</v>
      </c>
      <c r="E9" s="9" t="s">
        <v>15</v>
      </c>
      <c r="F9" s="8" t="s">
        <v>34</v>
      </c>
      <c r="G9" s="8" t="s">
        <v>35</v>
      </c>
      <c r="H9" s="8" t="s">
        <v>30</v>
      </c>
    </row>
    <row r="10" spans="1:8" ht="70" customHeight="1">
      <c r="A10" s="9" t="s">
        <v>36</v>
      </c>
      <c r="B10" s="9" t="s">
        <v>37</v>
      </c>
      <c r="C10" s="9" t="s">
        <v>13</v>
      </c>
      <c r="D10" s="9" t="s">
        <v>38</v>
      </c>
      <c r="E10" s="9" t="s">
        <v>15</v>
      </c>
      <c r="F10" s="8" t="s">
        <v>39</v>
      </c>
      <c r="G10" s="8" t="s">
        <v>40</v>
      </c>
      <c r="H10" s="8" t="s">
        <v>41</v>
      </c>
    </row>
    <row r="11" spans="1:8" ht="70" customHeight="1">
      <c r="A11" s="9" t="s">
        <v>42</v>
      </c>
      <c r="B11" s="9" t="s">
        <v>43</v>
      </c>
      <c r="C11" s="9" t="s">
        <v>13</v>
      </c>
      <c r="D11" s="9" t="s">
        <v>44</v>
      </c>
      <c r="E11" s="9" t="s">
        <v>15</v>
      </c>
      <c r="F11" s="8" t="s">
        <v>45</v>
      </c>
      <c r="G11" s="8" t="s">
        <v>46</v>
      </c>
      <c r="H11" s="8" t="s">
        <v>47</v>
      </c>
    </row>
    <row r="12" spans="1:8" ht="70" customHeight="1">
      <c r="A12" s="9" t="s">
        <v>48</v>
      </c>
      <c r="B12" s="9" t="s">
        <v>49</v>
      </c>
      <c r="C12" s="9" t="s">
        <v>13</v>
      </c>
      <c r="D12" s="9" t="s">
        <v>50</v>
      </c>
      <c r="E12" s="9" t="s">
        <v>15</v>
      </c>
      <c r="F12" s="8" t="s">
        <v>51</v>
      </c>
      <c r="G12" s="8" t="s">
        <v>52</v>
      </c>
      <c r="H12" s="8" t="s">
        <v>41</v>
      </c>
    </row>
    <row r="13" spans="1:8" ht="70" customHeight="1">
      <c r="A13" s="9" t="s">
        <v>53</v>
      </c>
      <c r="B13" s="9" t="s">
        <v>54</v>
      </c>
      <c r="C13" s="9" t="s">
        <v>13</v>
      </c>
      <c r="D13" s="9" t="s">
        <v>55</v>
      </c>
      <c r="E13" s="9" t="s">
        <v>15</v>
      </c>
      <c r="F13" s="8" t="s">
        <v>56</v>
      </c>
      <c r="G13" s="8" t="s">
        <v>57</v>
      </c>
      <c r="H13" s="8" t="s">
        <v>58</v>
      </c>
    </row>
    <row r="14" spans="1:8" ht="86" customHeight="1">
      <c r="A14" s="10" t="s">
        <v>59</v>
      </c>
      <c r="B14" s="10" t="s">
        <v>60</v>
      </c>
      <c r="C14" s="10" t="s">
        <v>61</v>
      </c>
      <c r="D14" s="10" t="s">
        <v>62</v>
      </c>
      <c r="E14" s="10" t="s">
        <v>63</v>
      </c>
      <c r="F14" s="7" t="s">
        <v>64</v>
      </c>
      <c r="G14" s="7" t="s">
        <v>65</v>
      </c>
      <c r="H14" s="7" t="s">
        <v>66</v>
      </c>
    </row>
    <row r="15" spans="1:8" ht="86" customHeight="1">
      <c r="A15" s="10" t="s">
        <v>67</v>
      </c>
      <c r="B15" s="10" t="s">
        <v>68</v>
      </c>
      <c r="C15" s="10" t="s">
        <v>61</v>
      </c>
      <c r="D15" s="10" t="s">
        <v>69</v>
      </c>
      <c r="E15" s="10" t="s">
        <v>70</v>
      </c>
      <c r="F15" s="7" t="s">
        <v>71</v>
      </c>
      <c r="G15" s="7" t="s">
        <v>72</v>
      </c>
      <c r="H15" s="7" t="s">
        <v>73</v>
      </c>
    </row>
    <row r="16" spans="1:8" ht="86" customHeight="1">
      <c r="A16" s="10" t="s">
        <v>74</v>
      </c>
      <c r="B16" s="10" t="s">
        <v>75</v>
      </c>
      <c r="C16" s="10" t="s">
        <v>61</v>
      </c>
      <c r="D16" s="10" t="s">
        <v>76</v>
      </c>
      <c r="E16" s="10" t="s">
        <v>70</v>
      </c>
      <c r="F16" s="7" t="s">
        <v>77</v>
      </c>
      <c r="G16" s="7" t="s">
        <v>78</v>
      </c>
      <c r="H16" s="7" t="s">
        <v>79</v>
      </c>
    </row>
    <row r="17" spans="1:8" ht="150" customHeight="1">
      <c r="A17" s="10" t="s">
        <v>80</v>
      </c>
      <c r="B17" s="10" t="s">
        <v>81</v>
      </c>
      <c r="C17" s="10" t="s">
        <v>82</v>
      </c>
      <c r="D17" s="10" t="s">
        <v>83</v>
      </c>
      <c r="E17" s="10" t="s">
        <v>84</v>
      </c>
      <c r="F17" s="7" t="s">
        <v>85</v>
      </c>
      <c r="G17" s="7" t="s">
        <v>86</v>
      </c>
      <c r="H17" s="7" t="s">
        <v>87</v>
      </c>
    </row>
    <row r="18" spans="1:8" ht="70">
      <c r="A18" s="35" t="s">
        <v>273</v>
      </c>
      <c r="B18" s="35" t="s">
        <v>273</v>
      </c>
      <c r="C18" s="7" t="s">
        <v>280</v>
      </c>
      <c r="D18" s="7" t="s">
        <v>274</v>
      </c>
      <c r="E18" s="7" t="s">
        <v>275</v>
      </c>
      <c r="F18" s="36" t="s">
        <v>276</v>
      </c>
      <c r="G18" s="5" t="s">
        <v>277</v>
      </c>
      <c r="H18" s="7" t="s">
        <v>278</v>
      </c>
    </row>
  </sheetData>
  <mergeCells count="3">
    <mergeCell ref="A1:H1"/>
    <mergeCell ref="A2:H2"/>
    <mergeCell ref="A4:H4"/>
  </mergeCells>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zoomScale="60" zoomScaleNormal="60" workbookViewId="0">
      <pane ySplit="8" topLeftCell="A20" activePane="bottomLeft" state="frozen"/>
      <selection pane="bottomLeft" activeCell="I5" sqref="I5"/>
    </sheetView>
  </sheetViews>
  <sheetFormatPr defaultRowHeight="14"/>
  <cols>
    <col min="1" max="1" width="17" customWidth="1"/>
    <col min="2" max="2" width="27" customWidth="1"/>
    <col min="3" max="3" width="31" customWidth="1"/>
    <col min="4" max="4" width="38" customWidth="1"/>
    <col min="5" max="5" width="50" customWidth="1"/>
    <col min="6" max="6" width="12" customWidth="1"/>
    <col min="7" max="7" width="18" customWidth="1"/>
    <col min="8" max="8" width="26" customWidth="1"/>
    <col min="9" max="9" width="38" customWidth="1"/>
  </cols>
  <sheetData>
    <row r="1" spans="1:9" ht="32" customHeight="1">
      <c r="A1" s="13" t="s">
        <v>88</v>
      </c>
      <c r="B1" s="13"/>
      <c r="C1" s="13"/>
      <c r="D1" s="13"/>
      <c r="E1" s="13"/>
      <c r="F1" s="13"/>
      <c r="G1" s="13"/>
      <c r="H1" s="13"/>
      <c r="I1" s="13"/>
    </row>
    <row r="2" spans="1:9" ht="30" customHeight="1">
      <c r="A2" s="14" t="s">
        <v>89</v>
      </c>
      <c r="B2" s="14"/>
      <c r="C2" s="14"/>
      <c r="D2" s="14"/>
      <c r="E2" s="14"/>
      <c r="F2" s="14"/>
      <c r="G2" s="14"/>
      <c r="H2" s="14"/>
      <c r="I2" s="14"/>
    </row>
    <row r="4" spans="1:9">
      <c r="A4" s="15" t="s">
        <v>90</v>
      </c>
      <c r="B4" s="15"/>
      <c r="C4" s="16" t="s">
        <v>91</v>
      </c>
      <c r="D4" s="16"/>
      <c r="E4" s="17" t="s">
        <v>92</v>
      </c>
      <c r="F4" s="17"/>
      <c r="G4" s="18" t="s">
        <v>93</v>
      </c>
      <c r="H4" s="18"/>
      <c r="I4" s="3" t="s">
        <v>94</v>
      </c>
    </row>
    <row r="5" spans="1:9" ht="28" customHeight="1">
      <c r="A5" s="11">
        <f>COUNTA(A9:A21)</f>
        <v>13</v>
      </c>
      <c r="B5" s="11"/>
      <c r="C5" s="11">
        <f>COUNTIF(F9:F21,"PASS")</f>
        <v>12</v>
      </c>
      <c r="D5" s="11"/>
      <c r="E5" s="11">
        <f>COUNTIF(F9:F21,"FAIL")</f>
        <v>1</v>
      </c>
      <c r="F5" s="11"/>
      <c r="G5" s="11">
        <f>COUNTIF(F9:F21,"BLOCKED")</f>
        <v>0</v>
      </c>
      <c r="H5" s="11"/>
      <c r="I5" s="4" t="s">
        <v>95</v>
      </c>
    </row>
    <row r="7" spans="1:9" ht="28" customHeight="1">
      <c r="A7" s="12" t="s">
        <v>96</v>
      </c>
      <c r="B7" s="12"/>
      <c r="C7" s="12"/>
      <c r="D7" s="12"/>
      <c r="E7" s="12"/>
      <c r="F7" s="12"/>
      <c r="G7" s="12"/>
      <c r="H7" s="12"/>
      <c r="I7" s="12"/>
    </row>
    <row r="8" spans="1:9" ht="34" customHeight="1">
      <c r="A8" s="1" t="s">
        <v>3</v>
      </c>
      <c r="B8" s="1" t="s">
        <v>97</v>
      </c>
      <c r="C8" s="1" t="s">
        <v>98</v>
      </c>
      <c r="D8" s="1" t="s">
        <v>10</v>
      </c>
      <c r="E8" s="1" t="s">
        <v>99</v>
      </c>
      <c r="F8" s="1" t="s">
        <v>100</v>
      </c>
      <c r="G8" s="1" t="s">
        <v>101</v>
      </c>
      <c r="H8" s="1" t="s">
        <v>102</v>
      </c>
      <c r="I8" s="1" t="s">
        <v>103</v>
      </c>
    </row>
    <row r="9" spans="1:9" ht="62" customHeight="1">
      <c r="A9" s="9" t="s">
        <v>11</v>
      </c>
      <c r="B9" s="9" t="s">
        <v>104</v>
      </c>
      <c r="C9" s="9" t="s">
        <v>105</v>
      </c>
      <c r="D9" s="9" t="s">
        <v>106</v>
      </c>
      <c r="E9" s="9" t="s">
        <v>107</v>
      </c>
      <c r="F9" s="9" t="s">
        <v>91</v>
      </c>
      <c r="G9" s="9" t="s">
        <v>108</v>
      </c>
      <c r="H9" s="9" t="s">
        <v>109</v>
      </c>
      <c r="I9" s="8" t="s">
        <v>110</v>
      </c>
    </row>
    <row r="10" spans="1:9" ht="62" customHeight="1">
      <c r="A10" s="9" t="s">
        <v>19</v>
      </c>
      <c r="B10" s="9" t="s">
        <v>111</v>
      </c>
      <c r="C10" s="9" t="s">
        <v>112</v>
      </c>
      <c r="D10" s="9" t="s">
        <v>113</v>
      </c>
      <c r="E10" s="9" t="s">
        <v>114</v>
      </c>
      <c r="F10" s="9" t="s">
        <v>91</v>
      </c>
      <c r="G10" s="9" t="s">
        <v>115</v>
      </c>
      <c r="H10" s="9" t="s">
        <v>109</v>
      </c>
      <c r="I10" s="8" t="s">
        <v>116</v>
      </c>
    </row>
    <row r="11" spans="1:9" ht="62" customHeight="1">
      <c r="A11" s="9" t="s">
        <v>25</v>
      </c>
      <c r="B11" s="9" t="s">
        <v>117</v>
      </c>
      <c r="C11" s="9" t="s">
        <v>118</v>
      </c>
      <c r="D11" s="9" t="s">
        <v>30</v>
      </c>
      <c r="E11" s="9" t="s">
        <v>119</v>
      </c>
      <c r="F11" s="9" t="s">
        <v>91</v>
      </c>
      <c r="G11" s="9" t="s">
        <v>108</v>
      </c>
      <c r="H11" s="9" t="s">
        <v>109</v>
      </c>
      <c r="I11" s="8" t="s">
        <v>120</v>
      </c>
    </row>
    <row r="12" spans="1:9" ht="62" customHeight="1">
      <c r="A12" s="9" t="s">
        <v>31</v>
      </c>
      <c r="B12" s="9" t="s">
        <v>121</v>
      </c>
      <c r="C12" s="9" t="s">
        <v>122</v>
      </c>
      <c r="D12" s="9" t="s">
        <v>30</v>
      </c>
      <c r="E12" s="9" t="s">
        <v>119</v>
      </c>
      <c r="F12" s="9" t="s">
        <v>91</v>
      </c>
      <c r="G12" s="9" t="s">
        <v>108</v>
      </c>
      <c r="H12" s="9" t="s">
        <v>109</v>
      </c>
      <c r="I12" s="8" t="s">
        <v>120</v>
      </c>
    </row>
    <row r="13" spans="1:9" ht="62" customHeight="1">
      <c r="A13" s="9" t="s">
        <v>36</v>
      </c>
      <c r="B13" s="9" t="s">
        <v>123</v>
      </c>
      <c r="C13" s="9" t="s">
        <v>124</v>
      </c>
      <c r="D13" s="9" t="s">
        <v>125</v>
      </c>
      <c r="E13" s="9" t="s">
        <v>126</v>
      </c>
      <c r="F13" s="9" t="s">
        <v>91</v>
      </c>
      <c r="G13" s="9" t="s">
        <v>108</v>
      </c>
      <c r="H13" s="9" t="s">
        <v>109</v>
      </c>
      <c r="I13" s="8" t="s">
        <v>127</v>
      </c>
    </row>
    <row r="14" spans="1:9" ht="62" customHeight="1">
      <c r="A14" s="9" t="s">
        <v>42</v>
      </c>
      <c r="B14" s="9" t="s">
        <v>128</v>
      </c>
      <c r="C14" s="9" t="s">
        <v>129</v>
      </c>
      <c r="D14" s="9" t="s">
        <v>130</v>
      </c>
      <c r="E14" s="9" t="s">
        <v>131</v>
      </c>
      <c r="F14" s="9" t="s">
        <v>91</v>
      </c>
      <c r="G14" s="9" t="s">
        <v>108</v>
      </c>
      <c r="H14" s="9" t="s">
        <v>109</v>
      </c>
      <c r="I14" s="8" t="s">
        <v>132</v>
      </c>
    </row>
    <row r="15" spans="1:9" ht="62" customHeight="1">
      <c r="A15" s="9" t="s">
        <v>48</v>
      </c>
      <c r="B15" s="9" t="s">
        <v>133</v>
      </c>
      <c r="C15" s="9" t="s">
        <v>134</v>
      </c>
      <c r="D15" s="9" t="s">
        <v>125</v>
      </c>
      <c r="E15" s="9" t="s">
        <v>126</v>
      </c>
      <c r="F15" s="9" t="s">
        <v>91</v>
      </c>
      <c r="G15" s="9" t="s">
        <v>108</v>
      </c>
      <c r="H15" s="9" t="s">
        <v>109</v>
      </c>
      <c r="I15" s="8" t="s">
        <v>132</v>
      </c>
    </row>
    <row r="16" spans="1:9" ht="62" customHeight="1">
      <c r="A16" s="9" t="s">
        <v>53</v>
      </c>
      <c r="B16" s="9" t="s">
        <v>135</v>
      </c>
      <c r="C16" s="9" t="s">
        <v>136</v>
      </c>
      <c r="D16" s="9" t="s">
        <v>137</v>
      </c>
      <c r="E16" s="9" t="s">
        <v>138</v>
      </c>
      <c r="F16" s="9" t="s">
        <v>91</v>
      </c>
      <c r="G16" s="9" t="s">
        <v>115</v>
      </c>
      <c r="H16" s="9" t="s">
        <v>109</v>
      </c>
      <c r="I16" s="8" t="s">
        <v>139</v>
      </c>
    </row>
    <row r="17" spans="1:9" ht="82" customHeight="1">
      <c r="A17" s="10" t="s">
        <v>59</v>
      </c>
      <c r="B17" s="10" t="s">
        <v>140</v>
      </c>
      <c r="C17" s="10" t="s">
        <v>141</v>
      </c>
      <c r="D17" s="10" t="s">
        <v>142</v>
      </c>
      <c r="E17" s="10" t="s">
        <v>143</v>
      </c>
      <c r="F17" s="10" t="s">
        <v>91</v>
      </c>
      <c r="G17" s="10" t="s">
        <v>144</v>
      </c>
      <c r="H17" s="10" t="s">
        <v>109</v>
      </c>
      <c r="I17" s="7" t="s">
        <v>145</v>
      </c>
    </row>
    <row r="18" spans="1:9" ht="82" customHeight="1">
      <c r="A18" s="10" t="s">
        <v>67</v>
      </c>
      <c r="B18" s="10" t="s">
        <v>146</v>
      </c>
      <c r="C18" s="10" t="s">
        <v>147</v>
      </c>
      <c r="D18" s="10" t="s">
        <v>148</v>
      </c>
      <c r="E18" s="10" t="s">
        <v>149</v>
      </c>
      <c r="F18" s="10" t="s">
        <v>91</v>
      </c>
      <c r="G18" s="10" t="s">
        <v>144</v>
      </c>
      <c r="H18" s="10" t="s">
        <v>109</v>
      </c>
      <c r="I18" s="7" t="s">
        <v>150</v>
      </c>
    </row>
    <row r="19" spans="1:9" ht="82" customHeight="1">
      <c r="A19" s="10" t="s">
        <v>74</v>
      </c>
      <c r="B19" s="10" t="s">
        <v>151</v>
      </c>
      <c r="C19" s="10" t="s">
        <v>152</v>
      </c>
      <c r="D19" s="10" t="s">
        <v>153</v>
      </c>
      <c r="E19" s="10" t="s">
        <v>154</v>
      </c>
      <c r="F19" s="10" t="s">
        <v>91</v>
      </c>
      <c r="G19" s="10" t="s">
        <v>144</v>
      </c>
      <c r="H19" s="10" t="s">
        <v>109</v>
      </c>
      <c r="I19" s="7" t="s">
        <v>150</v>
      </c>
    </row>
    <row r="20" spans="1:9" ht="165" customHeight="1">
      <c r="A20" s="10" t="s">
        <v>80</v>
      </c>
      <c r="B20" s="10" t="s">
        <v>155</v>
      </c>
      <c r="C20" s="10" t="s">
        <v>156</v>
      </c>
      <c r="D20" s="10" t="s">
        <v>157</v>
      </c>
      <c r="E20" s="10" t="s">
        <v>158</v>
      </c>
      <c r="F20" s="10" t="s">
        <v>91</v>
      </c>
      <c r="G20" s="10" t="s">
        <v>144</v>
      </c>
      <c r="H20" s="10" t="s">
        <v>109</v>
      </c>
      <c r="I20" s="7" t="s">
        <v>159</v>
      </c>
    </row>
    <row r="21" spans="1:9" ht="42">
      <c r="A21" s="10" t="s">
        <v>273</v>
      </c>
      <c r="B21" s="7" t="s">
        <v>285</v>
      </c>
      <c r="C21" s="7" t="s">
        <v>281</v>
      </c>
      <c r="D21" s="7" t="s">
        <v>282</v>
      </c>
      <c r="E21" s="7" t="s">
        <v>279</v>
      </c>
      <c r="F21" s="10" t="s">
        <v>92</v>
      </c>
      <c r="G21" s="10" t="s">
        <v>284</v>
      </c>
      <c r="H21" s="10" t="s">
        <v>109</v>
      </c>
      <c r="I21" s="37" t="s">
        <v>283</v>
      </c>
    </row>
  </sheetData>
  <mergeCells count="11">
    <mergeCell ref="A1:I1"/>
    <mergeCell ref="A2:I2"/>
    <mergeCell ref="A4:B4"/>
    <mergeCell ref="C4:D4"/>
    <mergeCell ref="E4:F4"/>
    <mergeCell ref="G4:H4"/>
    <mergeCell ref="A5:B5"/>
    <mergeCell ref="C5:D5"/>
    <mergeCell ref="E5:F5"/>
    <mergeCell ref="G5:H5"/>
    <mergeCell ref="A7:I7"/>
  </mergeCells>
  <phoneticPr fontId="14" type="noConversion"/>
  <dataValidations count="1">
    <dataValidation type="list" sqref="F9:F16" xr:uid="{00000000-0002-0000-0100-000000000000}">
      <formula1>"PASS,FAIL,BLOCKED,NOT RUN"</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zoomScale="40" zoomScaleNormal="40" workbookViewId="0">
      <pane ySplit="5" topLeftCell="A6" activePane="bottomLeft" state="frozen"/>
      <selection pane="bottomLeft" activeCell="N8" sqref="N8"/>
    </sheetView>
  </sheetViews>
  <sheetFormatPr defaultRowHeight="14"/>
  <cols>
    <col min="1" max="1" width="18" customWidth="1"/>
    <col min="2" max="3" width="21" customWidth="1"/>
    <col min="4" max="4" width="19" customWidth="1"/>
    <col min="5" max="5" width="40" customWidth="1"/>
    <col min="6" max="6" width="31" customWidth="1"/>
    <col min="7" max="8" width="42" customWidth="1"/>
    <col min="9" max="9" width="48" customWidth="1"/>
    <col min="10" max="10" width="38" customWidth="1"/>
    <col min="11" max="11" width="28" customWidth="1"/>
    <col min="12" max="13" width="16" customWidth="1"/>
  </cols>
  <sheetData>
    <row r="1" spans="1:13" ht="32" customHeight="1">
      <c r="A1" s="13" t="s">
        <v>160</v>
      </c>
      <c r="B1" s="13"/>
      <c r="C1" s="13"/>
      <c r="D1" s="13"/>
      <c r="E1" s="13"/>
      <c r="F1" s="13"/>
      <c r="G1" s="13"/>
      <c r="H1" s="13"/>
      <c r="I1" s="13"/>
      <c r="J1" s="13"/>
      <c r="K1" s="13"/>
      <c r="L1" s="13"/>
      <c r="M1" s="13"/>
    </row>
    <row r="2" spans="1:13" ht="30" customHeight="1">
      <c r="A2" s="14" t="s">
        <v>161</v>
      </c>
      <c r="B2" s="14"/>
      <c r="C2" s="14"/>
      <c r="D2" s="14"/>
      <c r="E2" s="14"/>
      <c r="F2" s="14"/>
      <c r="G2" s="14"/>
      <c r="H2" s="14"/>
      <c r="I2" s="14"/>
      <c r="J2" s="14"/>
      <c r="K2" s="14"/>
      <c r="L2" s="14"/>
      <c r="M2" s="14"/>
    </row>
    <row r="4" spans="1:13" ht="30" customHeight="1">
      <c r="A4" s="12" t="s">
        <v>162</v>
      </c>
      <c r="B4" s="12"/>
      <c r="C4" s="12"/>
      <c r="D4" s="12"/>
      <c r="E4" s="12"/>
      <c r="F4" s="12"/>
      <c r="G4" s="12"/>
      <c r="H4" s="12"/>
      <c r="I4" s="12"/>
      <c r="J4" s="12"/>
      <c r="K4" s="12"/>
      <c r="L4" s="12"/>
      <c r="M4" s="12"/>
    </row>
    <row r="5" spans="1:13" ht="34" customHeight="1">
      <c r="A5" s="1" t="s">
        <v>163</v>
      </c>
      <c r="B5" s="1" t="s">
        <v>164</v>
      </c>
      <c r="C5" s="1" t="s">
        <v>5</v>
      </c>
      <c r="D5" s="1" t="s">
        <v>165</v>
      </c>
      <c r="E5" s="1" t="s">
        <v>166</v>
      </c>
      <c r="F5" s="1" t="s">
        <v>7</v>
      </c>
      <c r="G5" s="1" t="s">
        <v>167</v>
      </c>
      <c r="H5" s="1" t="s">
        <v>10</v>
      </c>
      <c r="I5" s="1" t="s">
        <v>99</v>
      </c>
      <c r="J5" s="1" t="s">
        <v>168</v>
      </c>
      <c r="K5" s="1" t="s">
        <v>100</v>
      </c>
      <c r="L5" s="1" t="s">
        <v>169</v>
      </c>
      <c r="M5" s="1" t="s">
        <v>170</v>
      </c>
    </row>
    <row r="6" spans="1:13" ht="85" customHeight="1">
      <c r="A6" s="9" t="s">
        <v>171</v>
      </c>
      <c r="B6" s="9" t="s">
        <v>172</v>
      </c>
      <c r="C6" s="9" t="s">
        <v>173</v>
      </c>
      <c r="D6" s="9" t="s">
        <v>174</v>
      </c>
      <c r="E6" s="9" t="s">
        <v>175</v>
      </c>
      <c r="F6" s="9" t="s">
        <v>176</v>
      </c>
      <c r="G6" s="8" t="s">
        <v>177</v>
      </c>
      <c r="H6" s="8" t="s">
        <v>178</v>
      </c>
      <c r="I6" s="8" t="s">
        <v>179</v>
      </c>
      <c r="J6" s="9" t="s">
        <v>180</v>
      </c>
      <c r="K6" s="9" t="s">
        <v>181</v>
      </c>
      <c r="L6" s="2" t="s">
        <v>182</v>
      </c>
      <c r="M6" s="2" t="s">
        <v>182</v>
      </c>
    </row>
    <row r="7" spans="1:13" ht="85" customHeight="1">
      <c r="A7" s="9" t="s">
        <v>183</v>
      </c>
      <c r="B7" s="9" t="s">
        <v>184</v>
      </c>
      <c r="C7" s="9" t="s">
        <v>185</v>
      </c>
      <c r="D7" s="9" t="s">
        <v>174</v>
      </c>
      <c r="E7" s="9" t="s">
        <v>186</v>
      </c>
      <c r="F7" s="9" t="s">
        <v>187</v>
      </c>
      <c r="G7" s="8" t="s">
        <v>188</v>
      </c>
      <c r="H7" s="8" t="s">
        <v>189</v>
      </c>
      <c r="I7" s="8" t="s">
        <v>190</v>
      </c>
      <c r="J7" s="9" t="s">
        <v>191</v>
      </c>
      <c r="K7" s="9" t="s">
        <v>181</v>
      </c>
      <c r="L7" s="2" t="s">
        <v>182</v>
      </c>
      <c r="M7" s="2" t="s">
        <v>182</v>
      </c>
    </row>
    <row r="8" spans="1:13" ht="85" customHeight="1">
      <c r="A8" s="9" t="s">
        <v>192</v>
      </c>
      <c r="B8" s="9" t="s">
        <v>193</v>
      </c>
      <c r="C8" s="9" t="s">
        <v>194</v>
      </c>
      <c r="D8" s="9" t="s">
        <v>174</v>
      </c>
      <c r="E8" s="9" t="s">
        <v>195</v>
      </c>
      <c r="F8" s="9" t="s">
        <v>196</v>
      </c>
      <c r="G8" s="8" t="s">
        <v>197</v>
      </c>
      <c r="H8" s="8" t="s">
        <v>198</v>
      </c>
      <c r="I8" s="8" t="s">
        <v>199</v>
      </c>
      <c r="J8" s="9" t="s">
        <v>200</v>
      </c>
      <c r="K8" s="9" t="s">
        <v>201</v>
      </c>
      <c r="L8" s="2" t="s">
        <v>182</v>
      </c>
      <c r="M8" s="2" t="s">
        <v>182</v>
      </c>
    </row>
    <row r="9" spans="1:13" ht="85" customHeight="1">
      <c r="A9" s="9" t="s">
        <v>202</v>
      </c>
      <c r="B9" s="9" t="s">
        <v>203</v>
      </c>
      <c r="C9" s="9" t="s">
        <v>173</v>
      </c>
      <c r="D9" s="9" t="s">
        <v>174</v>
      </c>
      <c r="E9" s="9" t="s">
        <v>204</v>
      </c>
      <c r="F9" s="9" t="s">
        <v>187</v>
      </c>
      <c r="G9" s="8" t="s">
        <v>205</v>
      </c>
      <c r="H9" s="8" t="s">
        <v>206</v>
      </c>
      <c r="I9" s="8" t="s">
        <v>207</v>
      </c>
      <c r="J9" s="9" t="s">
        <v>200</v>
      </c>
      <c r="K9" s="9" t="s">
        <v>201</v>
      </c>
      <c r="L9" s="2" t="s">
        <v>182</v>
      </c>
      <c r="M9" s="2" t="s">
        <v>182</v>
      </c>
    </row>
    <row r="10" spans="1:13" ht="85" customHeight="1">
      <c r="A10" s="9" t="s">
        <v>208</v>
      </c>
      <c r="B10" s="9" t="s">
        <v>209</v>
      </c>
      <c r="C10" s="9" t="s">
        <v>210</v>
      </c>
      <c r="D10" s="9" t="s">
        <v>211</v>
      </c>
      <c r="E10" s="9" t="s">
        <v>212</v>
      </c>
      <c r="F10" s="9" t="s">
        <v>213</v>
      </c>
      <c r="G10" s="8" t="s">
        <v>214</v>
      </c>
      <c r="H10" s="8" t="s">
        <v>215</v>
      </c>
      <c r="I10" s="8" t="s">
        <v>216</v>
      </c>
      <c r="J10" s="9" t="s">
        <v>200</v>
      </c>
      <c r="K10" s="9" t="s">
        <v>201</v>
      </c>
      <c r="L10" s="2" t="s">
        <v>182</v>
      </c>
      <c r="M10" s="2" t="s">
        <v>182</v>
      </c>
    </row>
    <row r="11" spans="1:13" ht="85" customHeight="1">
      <c r="A11" s="9" t="s">
        <v>217</v>
      </c>
      <c r="B11" s="9" t="s">
        <v>193</v>
      </c>
      <c r="C11" s="9" t="s">
        <v>194</v>
      </c>
      <c r="D11" s="9" t="s">
        <v>218</v>
      </c>
      <c r="E11" s="9" t="s">
        <v>219</v>
      </c>
      <c r="F11" s="9" t="s">
        <v>220</v>
      </c>
      <c r="G11" s="8" t="s">
        <v>197</v>
      </c>
      <c r="H11" s="8" t="s">
        <v>221</v>
      </c>
      <c r="I11" s="8" t="s">
        <v>222</v>
      </c>
      <c r="J11" s="9" t="s">
        <v>200</v>
      </c>
      <c r="K11" s="9" t="s">
        <v>201</v>
      </c>
      <c r="L11" s="2" t="s">
        <v>182</v>
      </c>
      <c r="M11" s="2" t="s">
        <v>182</v>
      </c>
    </row>
    <row r="12" spans="1:13" ht="85" customHeight="1">
      <c r="A12" s="9" t="s">
        <v>223</v>
      </c>
      <c r="B12" s="9" t="s">
        <v>224</v>
      </c>
      <c r="C12" s="9" t="s">
        <v>173</v>
      </c>
      <c r="D12" s="9" t="s">
        <v>225</v>
      </c>
      <c r="E12" s="9" t="s">
        <v>226</v>
      </c>
      <c r="F12" s="9" t="s">
        <v>227</v>
      </c>
      <c r="G12" s="8" t="s">
        <v>228</v>
      </c>
      <c r="H12" s="8" t="s">
        <v>229</v>
      </c>
      <c r="I12" s="8" t="s">
        <v>230</v>
      </c>
      <c r="J12" s="9" t="s">
        <v>200</v>
      </c>
      <c r="K12" s="9" t="s">
        <v>231</v>
      </c>
      <c r="L12" s="2" t="s">
        <v>182</v>
      </c>
      <c r="M12" s="2" t="s">
        <v>182</v>
      </c>
    </row>
  </sheetData>
  <mergeCells count="3">
    <mergeCell ref="A1:M1"/>
    <mergeCell ref="A2:M2"/>
    <mergeCell ref="A4:M4"/>
  </mergeCells>
  <dataValidations count="2">
    <dataValidation type="list" sqref="K6:K12" xr:uid="{00000000-0002-0000-0200-000000000000}">
      <formula1>"Observed — pending confirmation,Needs reproduction,Needs screenshot / confirmation,Confirmed,Closed,Rejected"</formula1>
    </dataValidation>
    <dataValidation type="list" sqref="L6:M12" xr:uid="{00000000-0002-0000-0200-000001000000}">
      <formula1>"Not assessed,Low,Medium,High,Critical"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
  <sheetViews>
    <sheetView tabSelected="1" zoomScale="70" zoomScaleNormal="70" workbookViewId="0">
      <pane ySplit="2" topLeftCell="A30" activePane="bottomLeft" state="frozen"/>
      <selection pane="bottomLeft" activeCell="L37" sqref="L37"/>
    </sheetView>
  </sheetViews>
  <sheetFormatPr defaultRowHeight="14"/>
  <cols>
    <col min="1" max="1" width="30" customWidth="1"/>
    <col min="2" max="5" width="13" customWidth="1"/>
    <col min="6" max="8" width="18" customWidth="1"/>
  </cols>
  <sheetData>
    <row r="1" spans="1:8" ht="30" customHeight="1">
      <c r="A1" s="33" t="s">
        <v>232</v>
      </c>
      <c r="B1" s="33"/>
      <c r="C1" s="33"/>
      <c r="D1" s="33"/>
      <c r="E1" s="33"/>
      <c r="F1" s="33"/>
      <c r="G1" s="33"/>
      <c r="H1" s="33"/>
    </row>
    <row r="2" spans="1:8" ht="34" customHeight="1">
      <c r="A2" s="34" t="s">
        <v>233</v>
      </c>
      <c r="B2" s="34"/>
      <c r="C2" s="34"/>
      <c r="D2" s="34"/>
      <c r="E2" s="34"/>
      <c r="F2" s="34"/>
      <c r="G2" s="34"/>
      <c r="H2" s="34"/>
    </row>
    <row r="3" spans="1:8">
      <c r="A3" s="5"/>
      <c r="B3" s="5"/>
      <c r="C3" s="5"/>
      <c r="D3" s="5"/>
      <c r="E3" s="5"/>
      <c r="F3" s="5"/>
      <c r="G3" s="5"/>
      <c r="H3" s="5"/>
    </row>
    <row r="4" spans="1:8" ht="22" customHeight="1">
      <c r="A4" s="22" t="s">
        <v>234</v>
      </c>
      <c r="B4" s="22"/>
      <c r="C4" s="22"/>
      <c r="D4" s="22"/>
      <c r="E4" s="22"/>
      <c r="F4" s="22"/>
      <c r="G4" s="22"/>
      <c r="H4" s="22"/>
    </row>
    <row r="5" spans="1:8" ht="28" customHeight="1">
      <c r="A5" s="31" t="s">
        <v>235</v>
      </c>
      <c r="B5" s="31"/>
      <c r="C5" s="32" t="s">
        <v>236</v>
      </c>
      <c r="D5" s="32"/>
      <c r="E5" s="32"/>
      <c r="F5" s="32"/>
      <c r="G5" s="32"/>
      <c r="H5" s="32"/>
    </row>
    <row r="6" spans="1:8" ht="28" customHeight="1">
      <c r="A6" s="31" t="s">
        <v>237</v>
      </c>
      <c r="B6" s="31"/>
      <c r="C6" s="32" t="s">
        <v>238</v>
      </c>
      <c r="D6" s="32"/>
      <c r="E6" s="32"/>
      <c r="F6" s="32"/>
      <c r="G6" s="32"/>
      <c r="H6" s="32"/>
    </row>
    <row r="7" spans="1:8" ht="28" customHeight="1">
      <c r="A7" s="31" t="s">
        <v>239</v>
      </c>
      <c r="B7" s="31"/>
      <c r="C7" s="32" t="s">
        <v>240</v>
      </c>
      <c r="D7" s="32"/>
      <c r="E7" s="32"/>
      <c r="F7" s="32"/>
      <c r="G7" s="32"/>
      <c r="H7" s="32"/>
    </row>
    <row r="8" spans="1:8" ht="28" customHeight="1">
      <c r="A8" s="31" t="s">
        <v>241</v>
      </c>
      <c r="B8" s="31"/>
      <c r="C8" s="32" t="s">
        <v>286</v>
      </c>
      <c r="D8" s="32"/>
      <c r="E8" s="32"/>
      <c r="F8" s="32"/>
      <c r="G8" s="32"/>
      <c r="H8" s="32"/>
    </row>
    <row r="9" spans="1:8" ht="28" customHeight="1">
      <c r="A9" s="31" t="s">
        <v>242</v>
      </c>
      <c r="B9" s="31"/>
      <c r="C9" s="32" t="s">
        <v>243</v>
      </c>
      <c r="D9" s="32"/>
      <c r="E9" s="32"/>
      <c r="F9" s="32"/>
      <c r="G9" s="32"/>
      <c r="H9" s="32"/>
    </row>
    <row r="10" spans="1:8" ht="28" customHeight="1">
      <c r="A10" s="31" t="s">
        <v>244</v>
      </c>
      <c r="B10" s="31"/>
      <c r="C10" s="32" t="s">
        <v>245</v>
      </c>
      <c r="D10" s="32"/>
      <c r="E10" s="32"/>
      <c r="F10" s="32"/>
      <c r="G10" s="32"/>
      <c r="H10" s="32"/>
    </row>
    <row r="11" spans="1:8">
      <c r="A11" s="5"/>
      <c r="B11" s="5"/>
      <c r="C11" s="5"/>
      <c r="D11" s="5"/>
      <c r="E11" s="5"/>
      <c r="F11" s="5"/>
      <c r="G11" s="5"/>
      <c r="H11" s="5"/>
    </row>
    <row r="12" spans="1:8" ht="22" customHeight="1">
      <c r="A12" s="22" t="s">
        <v>246</v>
      </c>
      <c r="B12" s="22"/>
      <c r="C12" s="22"/>
      <c r="D12" s="22"/>
      <c r="E12" s="22"/>
      <c r="F12" s="22"/>
      <c r="G12" s="22"/>
      <c r="H12" s="22"/>
    </row>
    <row r="13" spans="1:8">
      <c r="A13" s="26" t="s">
        <v>90</v>
      </c>
      <c r="B13" s="26"/>
      <c r="C13" s="27" t="s">
        <v>247</v>
      </c>
      <c r="D13" s="27"/>
      <c r="E13" s="28" t="s">
        <v>248</v>
      </c>
      <c r="F13" s="28"/>
      <c r="G13" s="29" t="s">
        <v>93</v>
      </c>
      <c r="H13" s="29"/>
    </row>
    <row r="14" spans="1:8">
      <c r="A14" s="30">
        <f>COUNTA(Test_Execution!$A$9:$A$21)</f>
        <v>13</v>
      </c>
      <c r="B14" s="30"/>
      <c r="C14" s="30">
        <f>COUNTIF(Test_Execution!$F$9:$F$21,"PASS")</f>
        <v>12</v>
      </c>
      <c r="D14" s="30"/>
      <c r="E14" s="30">
        <f>COUNTIF(Test_Execution!$F$9:$F$21,"FAIL")</f>
        <v>1</v>
      </c>
      <c r="F14" s="30"/>
      <c r="G14" s="30">
        <f>COUNTIF(Test_Execution!$F$9:$F$21,"BLOCKED")</f>
        <v>0</v>
      </c>
      <c r="H14" s="30"/>
    </row>
    <row r="15" spans="1:8">
      <c r="A15" s="30"/>
      <c r="B15" s="30"/>
      <c r="C15" s="30"/>
      <c r="D15" s="30"/>
      <c r="E15" s="30"/>
      <c r="F15" s="30"/>
      <c r="G15" s="30"/>
      <c r="H15" s="30"/>
    </row>
    <row r="16" spans="1:8">
      <c r="A16" s="5"/>
      <c r="B16" s="5"/>
      <c r="C16" s="5"/>
      <c r="D16" s="5"/>
      <c r="E16" s="5"/>
      <c r="F16" s="5"/>
      <c r="G16" s="5"/>
      <c r="H16" s="5"/>
    </row>
    <row r="17" spans="1:8" ht="22" customHeight="1">
      <c r="A17" s="22" t="s">
        <v>249</v>
      </c>
      <c r="B17" s="22"/>
      <c r="C17" s="22"/>
      <c r="D17" s="22"/>
      <c r="E17" s="22"/>
      <c r="F17" s="22"/>
      <c r="G17" s="22"/>
      <c r="H17" s="22"/>
    </row>
    <row r="18" spans="1:8">
      <c r="A18" s="6" t="s">
        <v>250</v>
      </c>
      <c r="B18" s="6" t="s">
        <v>251</v>
      </c>
      <c r="C18" s="6" t="s">
        <v>252</v>
      </c>
      <c r="D18" s="6" t="s">
        <v>253</v>
      </c>
      <c r="E18" s="6" t="s">
        <v>254</v>
      </c>
      <c r="F18" s="24" t="s">
        <v>255</v>
      </c>
      <c r="G18" s="24"/>
      <c r="H18" s="24"/>
    </row>
    <row r="19" spans="1:8" ht="38" customHeight="1">
      <c r="A19" s="7" t="s">
        <v>13</v>
      </c>
      <c r="B19" s="10">
        <f>COUNTA(Test_Execution!$A$9:$A$16)</f>
        <v>8</v>
      </c>
      <c r="C19" s="10">
        <f>COUNTIF(Test_Execution!$F$9:$F$16,"PASS")</f>
        <v>8</v>
      </c>
      <c r="D19" s="10">
        <f>COUNTIF(Test_Execution!$F$9:$F$16,"FAIL")</f>
        <v>0</v>
      </c>
      <c r="E19" s="10">
        <f>COUNTIF(Test_Execution!$F$9:$F$16,"BLOCKED")</f>
        <v>0</v>
      </c>
      <c r="F19" s="25" t="s">
        <v>256</v>
      </c>
      <c r="G19" s="25"/>
      <c r="H19" s="25"/>
    </row>
    <row r="20" spans="1:8" ht="38" customHeight="1">
      <c r="A20" s="7" t="s">
        <v>257</v>
      </c>
      <c r="B20" s="10">
        <f>COUNTA(Test_Execution!$A$17:$A$19)</f>
        <v>3</v>
      </c>
      <c r="C20" s="10">
        <f>COUNTIF(Test_Execution!$F$17:$F$19,"PASS")</f>
        <v>3</v>
      </c>
      <c r="D20" s="10">
        <f>COUNTIF(Test_Execution!$F$17:$F$19,"FAIL")</f>
        <v>0</v>
      </c>
      <c r="E20" s="10">
        <f>COUNTIF(Test_Execution!$F$17:$F$19,"BLOCKED")</f>
        <v>0</v>
      </c>
      <c r="F20" s="25" t="s">
        <v>258</v>
      </c>
      <c r="G20" s="25"/>
      <c r="H20" s="25"/>
    </row>
    <row r="21" spans="1:8" ht="38" customHeight="1">
      <c r="A21" s="7" t="s">
        <v>259</v>
      </c>
      <c r="B21" s="10">
        <f>COUNTA(Test_Execution!$A$20:$A$20)</f>
        <v>1</v>
      </c>
      <c r="C21" s="10">
        <f>COUNTIF(Test_Execution!$F$20:$F$20,"PASS")</f>
        <v>1</v>
      </c>
      <c r="D21" s="10">
        <f>COUNTIF(Test_Execution!$F$20:$F$20,"FAIL")</f>
        <v>0</v>
      </c>
      <c r="E21" s="10">
        <f>COUNTIF(Test_Execution!$F$20:$F$20,"BLOCKED")</f>
        <v>0</v>
      </c>
      <c r="F21" s="25" t="s">
        <v>260</v>
      </c>
      <c r="G21" s="25"/>
      <c r="H21" s="25"/>
    </row>
    <row r="22" spans="1:8" ht="38" customHeight="1">
      <c r="A22" s="35" t="s">
        <v>287</v>
      </c>
      <c r="B22" s="10">
        <f>COUNTA(Test_Execution!$A$21:$A$21)</f>
        <v>1</v>
      </c>
      <c r="C22" s="10">
        <f>COUNTIF(Test_Execution!$F$21:$F$21,"PASS")</f>
        <v>0</v>
      </c>
      <c r="D22" s="10">
        <f>COUNTIF(Test_Execution!$F$21:$F$21,"FAIL")</f>
        <v>1</v>
      </c>
      <c r="E22" s="10">
        <f>COUNTIF(Test_Execution!$F$21:$F$21,"BLOCKED")</f>
        <v>0</v>
      </c>
      <c r="F22" s="38" t="s">
        <v>288</v>
      </c>
      <c r="G22" s="38"/>
      <c r="H22" s="38"/>
    </row>
    <row r="23" spans="1:8">
      <c r="A23" s="5"/>
      <c r="B23" s="5"/>
      <c r="C23" s="5"/>
      <c r="D23" s="5"/>
      <c r="E23" s="5"/>
      <c r="F23" s="5"/>
      <c r="G23" s="5"/>
      <c r="H23" s="5"/>
    </row>
    <row r="24" spans="1:8" ht="22" customHeight="1">
      <c r="A24" s="22" t="s">
        <v>261</v>
      </c>
      <c r="B24" s="22"/>
      <c r="C24" s="22"/>
      <c r="D24" s="22"/>
      <c r="E24" s="22"/>
      <c r="F24" s="22"/>
      <c r="G24" s="22"/>
      <c r="H24" s="22"/>
    </row>
    <row r="25" spans="1:8" ht="44" customHeight="1">
      <c r="A25" s="20" t="s">
        <v>262</v>
      </c>
      <c r="B25" s="20"/>
      <c r="C25" s="20"/>
      <c r="D25" s="20"/>
      <c r="E25" s="20"/>
      <c r="F25" s="20"/>
      <c r="G25" s="20"/>
      <c r="H25" s="20"/>
    </row>
    <row r="26" spans="1:8" ht="44" customHeight="1">
      <c r="A26" s="21" t="s">
        <v>263</v>
      </c>
      <c r="B26" s="21"/>
      <c r="C26" s="21"/>
      <c r="D26" s="21"/>
      <c r="E26" s="21"/>
      <c r="F26" s="21"/>
      <c r="G26" s="21"/>
      <c r="H26" s="21"/>
    </row>
    <row r="27" spans="1:8" ht="44" customHeight="1">
      <c r="A27" s="20" t="s">
        <v>264</v>
      </c>
      <c r="B27" s="20"/>
      <c r="C27" s="20"/>
      <c r="D27" s="20"/>
      <c r="E27" s="20"/>
      <c r="F27" s="20"/>
      <c r="G27" s="20"/>
      <c r="H27" s="20"/>
    </row>
    <row r="28" spans="1:8" ht="44" customHeight="1">
      <c r="A28" s="21" t="s">
        <v>265</v>
      </c>
      <c r="B28" s="21"/>
      <c r="C28" s="21"/>
      <c r="D28" s="21"/>
      <c r="E28" s="21"/>
      <c r="F28" s="21"/>
      <c r="G28" s="21"/>
      <c r="H28" s="21"/>
    </row>
    <row r="29" spans="1:8" ht="34" customHeight="1">
      <c r="A29" s="20" t="s">
        <v>266</v>
      </c>
      <c r="B29" s="20"/>
      <c r="C29" s="20"/>
      <c r="D29" s="20"/>
      <c r="E29" s="20"/>
      <c r="F29" s="20"/>
      <c r="G29" s="20"/>
      <c r="H29" s="20"/>
    </row>
    <row r="30" spans="1:8" ht="44" customHeight="1">
      <c r="A30" s="21" t="s">
        <v>267</v>
      </c>
      <c r="B30" s="21"/>
      <c r="C30" s="21"/>
      <c r="D30" s="21"/>
      <c r="E30" s="21"/>
      <c r="F30" s="21"/>
      <c r="G30" s="21"/>
      <c r="H30" s="21"/>
    </row>
    <row r="31" spans="1:8">
      <c r="A31" s="5"/>
      <c r="B31" s="5"/>
      <c r="C31" s="5"/>
      <c r="D31" s="5"/>
      <c r="E31" s="5"/>
      <c r="F31" s="5"/>
      <c r="G31" s="5"/>
      <c r="H31" s="5"/>
    </row>
    <row r="32" spans="1:8" ht="22" customHeight="1">
      <c r="A32" s="22" t="s">
        <v>268</v>
      </c>
      <c r="B32" s="22"/>
      <c r="C32" s="22"/>
      <c r="D32" s="22"/>
      <c r="E32" s="22"/>
      <c r="F32" s="22"/>
      <c r="G32" s="22"/>
      <c r="H32" s="22"/>
    </row>
    <row r="33" spans="1:8" ht="30" customHeight="1">
      <c r="A33" s="23" t="s">
        <v>289</v>
      </c>
      <c r="B33" s="23"/>
      <c r="C33" s="23"/>
      <c r="D33" s="23"/>
      <c r="E33" s="23"/>
      <c r="F33" s="23"/>
      <c r="G33" s="23"/>
      <c r="H33" s="23"/>
    </row>
    <row r="34" spans="1:8" ht="30" customHeight="1">
      <c r="A34" s="23"/>
      <c r="B34" s="23"/>
      <c r="C34" s="23"/>
      <c r="D34" s="23"/>
      <c r="E34" s="23"/>
      <c r="F34" s="23"/>
      <c r="G34" s="23"/>
      <c r="H34" s="23"/>
    </row>
    <row r="35" spans="1:8" ht="30" customHeight="1">
      <c r="A35" s="23"/>
      <c r="B35" s="23"/>
      <c r="C35" s="23"/>
      <c r="D35" s="23"/>
      <c r="E35" s="23"/>
      <c r="F35" s="23"/>
      <c r="G35" s="23"/>
      <c r="H35" s="23"/>
    </row>
    <row r="36" spans="1:8">
      <c r="A36" s="5"/>
      <c r="B36" s="5"/>
      <c r="C36" s="5"/>
      <c r="D36" s="5"/>
      <c r="E36" s="5"/>
      <c r="F36" s="5"/>
      <c r="G36" s="5"/>
      <c r="H36" s="5"/>
    </row>
    <row r="37" spans="1:8" ht="22" customHeight="1">
      <c r="A37" s="22" t="s">
        <v>269</v>
      </c>
      <c r="B37" s="22"/>
      <c r="C37" s="22"/>
      <c r="D37" s="22"/>
      <c r="E37" s="22"/>
      <c r="F37" s="22"/>
      <c r="G37" s="22"/>
      <c r="H37" s="22"/>
    </row>
    <row r="38" spans="1:8" ht="30" customHeight="1">
      <c r="A38" s="19" t="s">
        <v>270</v>
      </c>
      <c r="B38" s="19"/>
      <c r="C38" s="19"/>
      <c r="D38" s="19"/>
      <c r="E38" s="19"/>
      <c r="F38" s="19"/>
      <c r="G38" s="19"/>
      <c r="H38" s="19"/>
    </row>
    <row r="39" spans="1:8" ht="30" customHeight="1">
      <c r="A39" s="19" t="s">
        <v>271</v>
      </c>
      <c r="B39" s="19"/>
      <c r="C39" s="19"/>
      <c r="D39" s="19"/>
      <c r="E39" s="19"/>
      <c r="F39" s="19"/>
      <c r="G39" s="19"/>
      <c r="H39" s="19"/>
    </row>
    <row r="40" spans="1:8" ht="30" customHeight="1">
      <c r="A40" s="19" t="s">
        <v>272</v>
      </c>
      <c r="B40" s="19"/>
      <c r="C40" s="19"/>
      <c r="D40" s="19"/>
      <c r="E40" s="19"/>
      <c r="F40" s="19"/>
      <c r="G40" s="19"/>
      <c r="H40" s="19"/>
    </row>
    <row r="41" spans="1:8">
      <c r="A41" s="5"/>
      <c r="B41" s="5"/>
      <c r="C41" s="5"/>
      <c r="D41" s="5"/>
      <c r="E41" s="5"/>
      <c r="F41" s="5"/>
      <c r="G41" s="5"/>
      <c r="H41" s="5"/>
    </row>
  </sheetData>
  <mergeCells count="43">
    <mergeCell ref="F22:H22"/>
    <mergeCell ref="A1:H1"/>
    <mergeCell ref="A2:H2"/>
    <mergeCell ref="A4:H4"/>
    <mergeCell ref="A5:B5"/>
    <mergeCell ref="C5:H5"/>
    <mergeCell ref="A6:B6"/>
    <mergeCell ref="C6:H6"/>
    <mergeCell ref="A7:B7"/>
    <mergeCell ref="C7:H7"/>
    <mergeCell ref="A8:B8"/>
    <mergeCell ref="C8:H8"/>
    <mergeCell ref="A9:B9"/>
    <mergeCell ref="C9:H9"/>
    <mergeCell ref="A10:B10"/>
    <mergeCell ref="C10:H10"/>
    <mergeCell ref="A12:H12"/>
    <mergeCell ref="A13:B13"/>
    <mergeCell ref="C13:D13"/>
    <mergeCell ref="E13:F13"/>
    <mergeCell ref="G13:H13"/>
    <mergeCell ref="A14:B15"/>
    <mergeCell ref="C14:D15"/>
    <mergeCell ref="E14:F15"/>
    <mergeCell ref="G14:H15"/>
    <mergeCell ref="A17:H17"/>
    <mergeCell ref="F18:H18"/>
    <mergeCell ref="F19:H19"/>
    <mergeCell ref="F20:H20"/>
    <mergeCell ref="F21:H21"/>
    <mergeCell ref="A24:H24"/>
    <mergeCell ref="A25:H25"/>
    <mergeCell ref="A26:H26"/>
    <mergeCell ref="A27:H27"/>
    <mergeCell ref="A28:H28"/>
    <mergeCell ref="A38:H38"/>
    <mergeCell ref="A39:H39"/>
    <mergeCell ref="A40:H40"/>
    <mergeCell ref="A29:H29"/>
    <mergeCell ref="A30:H30"/>
    <mergeCell ref="A32:H32"/>
    <mergeCell ref="A33:H35"/>
    <mergeCell ref="A37:H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Test_Cases</vt:lpstr>
      <vt:lpstr>Test_Execution</vt:lpstr>
      <vt:lpstr>Bug_Reports</vt:lpstr>
      <vt:lpstr>Test_Summary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Alman Firdaus</cp:lastModifiedBy>
  <dcterms:modified xsi:type="dcterms:W3CDTF">2026-10-13T06:23:56Z</dcterms:modified>
</cp:coreProperties>
</file>